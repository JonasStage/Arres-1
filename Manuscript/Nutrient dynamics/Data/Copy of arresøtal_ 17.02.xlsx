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Manuscript/Nutrient dynamics/Data/"/>
    </mc:Choice>
  </mc:AlternateContent>
  <xr:revisionPtr revIDLastSave="266" documentId="8_{7124C280-7A2D-2545-A5ED-060E6B1876F1}" xr6:coauthVersionLast="47" xr6:coauthVersionMax="47" xr10:uidLastSave="{74DD655C-23C1-5443-9DB7-4D8F5EDE3C2E}"/>
  <bookViews>
    <workbookView xWindow="6800" yWindow="-20960" windowWidth="28800" windowHeight="1750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Fig_new" sheetId="10" r:id="rId6"/>
    <sheet name="Tables" sheetId="9" r:id="rId7"/>
    <sheet name="Fig10" sheetId="8" r:id="rId8"/>
    <sheet name="Figur 9" sheetId="7" r:id="rId9"/>
    <sheet name="Fig4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5" l="1"/>
  <c r="P4" i="5"/>
  <c r="Q4" i="5"/>
  <c r="R4" i="5"/>
  <c r="O5" i="5"/>
  <c r="P5" i="5"/>
  <c r="Q5" i="5"/>
  <c r="R5" i="5"/>
  <c r="O6" i="5"/>
  <c r="P6" i="5"/>
  <c r="Q6" i="5"/>
  <c r="R6" i="5"/>
  <c r="O7" i="5"/>
  <c r="P7" i="5"/>
  <c r="Q7" i="5"/>
  <c r="R7" i="5"/>
  <c r="O8" i="5"/>
  <c r="P8" i="5"/>
  <c r="Q8" i="5"/>
  <c r="R8" i="5"/>
  <c r="O9" i="5"/>
  <c r="P9" i="5"/>
  <c r="Q9" i="5"/>
  <c r="R9" i="5"/>
  <c r="N5" i="5"/>
  <c r="N6" i="5"/>
  <c r="N7" i="5"/>
  <c r="N8" i="5"/>
  <c r="N9" i="5"/>
  <c r="N4" i="5"/>
  <c r="F53" i="9"/>
  <c r="F58" i="9"/>
  <c r="F57" i="9"/>
  <c r="F56" i="9"/>
  <c r="F55" i="9"/>
  <c r="F54" i="9"/>
  <c r="N23" i="4"/>
  <c r="M23" i="4"/>
  <c r="N89" i="5"/>
  <c r="O89" i="5"/>
  <c r="O18" i="5"/>
  <c r="H198" i="3" l="1"/>
  <c r="D198" i="3"/>
  <c r="D124" i="5"/>
  <c r="B123" i="5"/>
  <c r="H145" i="5" l="1"/>
  <c r="C146" i="5"/>
  <c r="F145" i="5"/>
  <c r="E145" i="5"/>
  <c r="F106" i="5" l="1"/>
  <c r="F107" i="5"/>
  <c r="F108" i="5"/>
  <c r="F109" i="5"/>
  <c r="F110" i="5"/>
  <c r="F105" i="5"/>
  <c r="I70" i="5"/>
  <c r="I75" i="5" s="1"/>
  <c r="I71" i="5"/>
  <c r="I72" i="5"/>
  <c r="I73" i="5"/>
  <c r="I74" i="5"/>
  <c r="I69" i="5"/>
  <c r="N62" i="5"/>
  <c r="O90" i="5"/>
  <c r="O91" i="5"/>
  <c r="O94" i="5"/>
  <c r="N90" i="5"/>
  <c r="N91" i="5"/>
  <c r="N92" i="5"/>
  <c r="O92" i="5" s="1"/>
  <c r="N93" i="5"/>
  <c r="O93" i="5" s="1"/>
  <c r="N94" i="5"/>
  <c r="K120" i="5" l="1"/>
  <c r="M120" i="5" s="1"/>
  <c r="K119" i="5"/>
  <c r="M119" i="5" s="1"/>
  <c r="K118" i="5"/>
  <c r="M118" i="5" s="1"/>
  <c r="M115" i="5"/>
  <c r="M116" i="5" s="1"/>
  <c r="O118" i="5"/>
  <c r="Z70" i="5"/>
  <c r="Z71" i="5"/>
  <c r="Z72" i="5"/>
  <c r="Z73" i="5"/>
  <c r="Z74" i="5"/>
  <c r="Z69" i="5"/>
  <c r="X56" i="5"/>
  <c r="X57" i="5"/>
  <c r="X58" i="5"/>
  <c r="X59" i="5"/>
  <c r="X60" i="5"/>
  <c r="X55" i="5"/>
  <c r="W56" i="5"/>
  <c r="W57" i="5"/>
  <c r="W58" i="5"/>
  <c r="W59" i="5"/>
  <c r="W60" i="5"/>
  <c r="W55" i="5"/>
  <c r="AB70" i="5"/>
  <c r="AC70" i="5"/>
  <c r="AD70" i="5"/>
  <c r="AE70" i="5"/>
  <c r="AB71" i="5"/>
  <c r="AC71" i="5"/>
  <c r="AD71" i="5"/>
  <c r="AE71" i="5"/>
  <c r="AB72" i="5"/>
  <c r="AC72" i="5"/>
  <c r="AD72" i="5"/>
  <c r="AE72" i="5"/>
  <c r="AB73" i="5"/>
  <c r="AC73" i="5"/>
  <c r="AD73" i="5"/>
  <c r="AE73" i="5"/>
  <c r="AB74" i="5"/>
  <c r="AC74" i="5"/>
  <c r="AD74" i="5"/>
  <c r="AE74" i="5"/>
  <c r="AC69" i="5"/>
  <c r="AD69" i="5"/>
  <c r="AE69" i="5"/>
  <c r="AB69" i="5"/>
  <c r="G274" i="3" l="1"/>
  <c r="J260" i="3"/>
  <c r="C248" i="3"/>
  <c r="G239" i="3"/>
  <c r="G248" i="3" s="1"/>
  <c r="E41" i="5" l="1"/>
  <c r="D41" i="5"/>
  <c r="C41" i="5"/>
  <c r="B41" i="5"/>
  <c r="A41" i="5"/>
  <c r="E40" i="5"/>
  <c r="D40" i="5"/>
  <c r="C40" i="5"/>
  <c r="B40" i="5"/>
  <c r="A40" i="5"/>
  <c r="B42" i="5" s="1"/>
  <c r="G12" i="5"/>
  <c r="F12" i="5"/>
  <c r="E12" i="5"/>
  <c r="D12" i="5"/>
  <c r="C12" i="5"/>
  <c r="G11" i="5"/>
  <c r="F11" i="5"/>
  <c r="E11" i="5"/>
  <c r="D11" i="5"/>
  <c r="C11" i="5"/>
  <c r="I12" i="5" s="1"/>
  <c r="N33" i="4"/>
  <c r="N32" i="4" s="1"/>
  <c r="Y17" i="4"/>
  <c r="Y16" i="4"/>
  <c r="Y15" i="4"/>
  <c r="Y14" i="4"/>
  <c r="Y13" i="4"/>
  <c r="S13" i="4"/>
  <c r="AA13" i="4"/>
  <c r="AB13" i="4"/>
  <c r="AA14" i="4"/>
  <c r="AB14" i="4"/>
  <c r="AA15" i="4"/>
  <c r="AB15" i="4"/>
  <c r="AA16" i="4"/>
  <c r="AB16" i="4"/>
  <c r="AA17" i="4"/>
  <c r="AB17" i="4"/>
  <c r="AB18" i="4"/>
  <c r="F18" i="4" l="1"/>
  <c r="F17" i="4"/>
  <c r="F16" i="4"/>
  <c r="F15" i="4"/>
  <c r="F14" i="4"/>
  <c r="F13" i="4"/>
  <c r="E18" i="4"/>
  <c r="E17" i="4"/>
  <c r="E16" i="4"/>
  <c r="E15" i="4"/>
  <c r="E14" i="4"/>
  <c r="E13" i="4"/>
  <c r="D18" i="4"/>
  <c r="D17" i="4"/>
  <c r="D16" i="4"/>
  <c r="D15" i="4"/>
  <c r="D14" i="4"/>
  <c r="D13" i="4"/>
  <c r="C18" i="4"/>
  <c r="C17" i="4"/>
  <c r="C16" i="4"/>
  <c r="C15" i="4"/>
  <c r="C14" i="4"/>
  <c r="C13" i="4"/>
  <c r="G13" i="4" l="1"/>
  <c r="G14" i="4"/>
  <c r="G15" i="4"/>
  <c r="G16" i="4"/>
  <c r="G17" i="4"/>
  <c r="G18" i="4"/>
  <c r="BS85" i="2"/>
  <c r="BR85" i="2"/>
  <c r="BR87" i="2"/>
  <c r="BO85" i="2"/>
  <c r="BO87" i="2"/>
  <c r="BO88" i="2"/>
  <c r="BN87" i="2"/>
  <c r="BP87" i="2" s="1"/>
  <c r="BN89" i="2"/>
  <c r="BM89" i="2"/>
  <c r="BO89" i="2" s="1"/>
  <c r="BL89" i="2"/>
  <c r="BK89" i="2"/>
  <c r="BJ89" i="2"/>
  <c r="BR89" i="2" s="1"/>
  <c r="BM88" i="2"/>
  <c r="BL88" i="2"/>
  <c r="BN88" i="2" s="1"/>
  <c r="BP88" i="2" s="1"/>
  <c r="BK88" i="2"/>
  <c r="BJ88" i="2"/>
  <c r="BS88" i="2" s="1"/>
  <c r="BM87" i="2"/>
  <c r="BL87" i="2"/>
  <c r="BK87" i="2"/>
  <c r="BJ87" i="2"/>
  <c r="BS87" i="2" s="1"/>
  <c r="BM86" i="2"/>
  <c r="BL86" i="2"/>
  <c r="BN86" i="2" s="1"/>
  <c r="BK86" i="2"/>
  <c r="BO86" i="2" s="1"/>
  <c r="BJ86" i="2"/>
  <c r="BR86" i="2" s="1"/>
  <c r="BM85" i="2"/>
  <c r="BL85" i="2"/>
  <c r="BK85" i="2"/>
  <c r="BJ85" i="2"/>
  <c r="BN85" i="2" s="1"/>
  <c r="BP85" i="2" s="1"/>
  <c r="BM84" i="2"/>
  <c r="BO84" i="2" s="1"/>
  <c r="BL84" i="2"/>
  <c r="BK84" i="2"/>
  <c r="BJ84" i="2"/>
  <c r="BS84" i="2" s="1"/>
  <c r="BP89" i="2" l="1"/>
  <c r="BP86" i="2"/>
  <c r="BR88" i="2"/>
  <c r="BS89" i="2"/>
  <c r="BN84" i="2"/>
  <c r="BP84" i="2" s="1"/>
  <c r="BS86" i="2"/>
  <c r="BR84" i="2"/>
  <c r="AX100" i="2"/>
  <c r="AX101" i="2"/>
  <c r="AW99" i="2"/>
  <c r="AW100" i="2"/>
  <c r="AW101" i="2"/>
  <c r="AW102" i="2"/>
  <c r="AW103" i="2"/>
  <c r="AW98" i="2"/>
  <c r="AV99" i="2"/>
  <c r="AV100" i="2"/>
  <c r="AV101" i="2"/>
  <c r="AV102" i="2"/>
  <c r="AV103" i="2"/>
  <c r="AV98" i="2"/>
  <c r="AU99" i="2"/>
  <c r="AU100" i="2"/>
  <c r="AY100" i="2" s="1"/>
  <c r="AU101" i="2"/>
  <c r="AY101" i="2" s="1"/>
  <c r="AU102" i="2"/>
  <c r="AX102" i="2" s="1"/>
  <c r="AU103" i="2"/>
  <c r="AX103" i="2" s="1"/>
  <c r="AU98" i="2"/>
  <c r="AX98" i="2" s="1"/>
  <c r="AX99" i="2" l="1"/>
  <c r="AY99" i="2" s="1"/>
  <c r="AY98" i="2"/>
  <c r="AY103" i="2"/>
  <c r="AY102" i="2"/>
  <c r="AD130" i="2"/>
  <c r="AD131" i="2"/>
  <c r="AD132" i="2"/>
  <c r="AD133" i="2"/>
  <c r="AD134" i="2"/>
  <c r="AD129" i="2"/>
  <c r="AC130" i="2"/>
  <c r="AC131" i="2"/>
  <c r="AC132" i="2"/>
  <c r="AC133" i="2"/>
  <c r="AC134" i="2"/>
  <c r="AC129" i="2"/>
  <c r="L43" i="4"/>
  <c r="L44" i="4"/>
  <c r="L45" i="4"/>
  <c r="L46" i="4"/>
  <c r="L47" i="4"/>
  <c r="L42" i="4"/>
  <c r="K24" i="4"/>
  <c r="K25" i="4"/>
  <c r="K26" i="4"/>
  <c r="K27" i="4"/>
  <c r="N27" i="4" s="1"/>
  <c r="K28" i="4"/>
  <c r="K23" i="4"/>
  <c r="J24" i="4"/>
  <c r="M24" i="4" s="1"/>
  <c r="J25" i="4"/>
  <c r="M25" i="4" s="1"/>
  <c r="J26" i="4"/>
  <c r="M26" i="4" s="1"/>
  <c r="J27" i="4"/>
  <c r="J28" i="4"/>
  <c r="M28" i="4" s="1"/>
  <c r="J23" i="4"/>
  <c r="K140" i="4"/>
  <c r="K141" i="4"/>
  <c r="K142" i="4"/>
  <c r="K143" i="4"/>
  <c r="K144" i="4"/>
  <c r="K145" i="4"/>
  <c r="K139" i="4"/>
  <c r="K43" i="4"/>
  <c r="K44" i="4"/>
  <c r="K45" i="4"/>
  <c r="K46" i="4"/>
  <c r="K47" i="4"/>
  <c r="K42" i="4"/>
  <c r="D132" i="4"/>
  <c r="E132" i="4"/>
  <c r="F132" i="4"/>
  <c r="G132" i="4"/>
  <c r="D133" i="4"/>
  <c r="E133" i="4"/>
  <c r="F133" i="4"/>
  <c r="G133" i="4"/>
  <c r="C132" i="4"/>
  <c r="C133" i="4"/>
  <c r="AA99" i="2"/>
  <c r="AA103" i="2"/>
  <c r="AA98" i="2"/>
  <c r="W102" i="2"/>
  <c r="Z99" i="2"/>
  <c r="Z100" i="2"/>
  <c r="Z101" i="2"/>
  <c r="Z102" i="2"/>
  <c r="Z103" i="2"/>
  <c r="Z98" i="2"/>
  <c r="Y99" i="2"/>
  <c r="Y100" i="2"/>
  <c r="AA100" i="2" s="1"/>
  <c r="Y101" i="2"/>
  <c r="AA101" i="2" s="1"/>
  <c r="Y102" i="2"/>
  <c r="AA102" i="2" s="1"/>
  <c r="Y103" i="2"/>
  <c r="X99" i="2"/>
  <c r="W99" i="2" s="1"/>
  <c r="X100" i="2"/>
  <c r="W100" i="2" s="1"/>
  <c r="X101" i="2"/>
  <c r="W101" i="2" s="1"/>
  <c r="X102" i="2"/>
  <c r="X103" i="2"/>
  <c r="W103" i="2" s="1"/>
  <c r="X98" i="2"/>
  <c r="W98" i="2" s="1"/>
  <c r="M42" i="4" l="1"/>
  <c r="L24" i="4"/>
  <c r="N24" i="4"/>
  <c r="M46" i="4"/>
  <c r="M45" i="4"/>
  <c r="M44" i="4"/>
  <c r="L28" i="4"/>
  <c r="N28" i="4"/>
  <c r="L26" i="4"/>
  <c r="N26" i="4"/>
  <c r="M43" i="4"/>
  <c r="M47" i="4"/>
  <c r="L23" i="4"/>
  <c r="I133" i="4"/>
  <c r="L27" i="4"/>
  <c r="M27" i="4"/>
  <c r="L25" i="4"/>
  <c r="N25" i="4"/>
  <c r="C94" i="4"/>
  <c r="C95" i="4"/>
  <c r="C108" i="4"/>
  <c r="C107" i="4"/>
  <c r="A94" i="4" l="1"/>
  <c r="B107" i="4"/>
  <c r="D107" i="4"/>
  <c r="E107" i="4"/>
  <c r="B109" i="4" s="1"/>
  <c r="B108" i="4"/>
  <c r="D108" i="4"/>
  <c r="E108" i="4"/>
  <c r="A108" i="4"/>
  <c r="A107" i="4"/>
  <c r="B94" i="4" l="1"/>
  <c r="D94" i="4"/>
  <c r="E94" i="4"/>
  <c r="B96" i="4" s="1"/>
  <c r="B95" i="4"/>
  <c r="D95" i="4"/>
  <c r="E95" i="4"/>
  <c r="A95" i="4"/>
  <c r="Q46" i="4" l="1"/>
  <c r="Q45" i="4"/>
  <c r="Q44" i="4"/>
  <c r="Q43" i="4"/>
  <c r="Q42" i="4"/>
  <c r="Q41" i="4"/>
  <c r="Q40" i="4"/>
  <c r="Q39" i="4"/>
  <c r="P41" i="4"/>
  <c r="P40" i="4"/>
  <c r="P39" i="4"/>
  <c r="O41" i="4"/>
  <c r="O40" i="4"/>
  <c r="O39" i="4"/>
  <c r="P4" i="4" l="1"/>
  <c r="Q4" i="4" s="1"/>
  <c r="J71" i="4" l="1"/>
  <c r="J72" i="4"/>
  <c r="J73" i="4"/>
  <c r="J68" i="4"/>
  <c r="H71" i="4"/>
  <c r="H72" i="4"/>
  <c r="H73" i="4"/>
  <c r="H68" i="4"/>
  <c r="F71" i="4"/>
  <c r="F72" i="4"/>
  <c r="F73" i="4"/>
  <c r="F68" i="4"/>
  <c r="D71" i="4"/>
  <c r="D72" i="4"/>
  <c r="D73" i="4"/>
  <c r="D68" i="4"/>
  <c r="B71" i="4"/>
  <c r="B72" i="4"/>
  <c r="B73" i="4"/>
  <c r="B68" i="4"/>
  <c r="L70" i="4"/>
  <c r="J70" i="4" s="1"/>
  <c r="L69" i="4"/>
  <c r="J69" i="4" s="1"/>
  <c r="R60" i="4"/>
  <c r="R61" i="4"/>
  <c r="R62" i="4"/>
  <c r="R63" i="4"/>
  <c r="R64" i="4"/>
  <c r="R59" i="4"/>
  <c r="O60" i="4"/>
  <c r="O61" i="4"/>
  <c r="O62" i="4"/>
  <c r="O63" i="4"/>
  <c r="O64" i="4"/>
  <c r="O59" i="4"/>
  <c r="L60" i="4"/>
  <c r="L61" i="4"/>
  <c r="L62" i="4"/>
  <c r="L63" i="4"/>
  <c r="L64" i="4"/>
  <c r="L59" i="4"/>
  <c r="I60" i="4"/>
  <c r="I61" i="4"/>
  <c r="I62" i="4"/>
  <c r="I63" i="4"/>
  <c r="I64" i="4"/>
  <c r="I59" i="4"/>
  <c r="F60" i="4"/>
  <c r="S60" i="4" s="1"/>
  <c r="T60" i="4" s="1"/>
  <c r="U60" i="4" s="1"/>
  <c r="F61" i="4"/>
  <c r="F62" i="4"/>
  <c r="F63" i="4"/>
  <c r="F64" i="4"/>
  <c r="F59" i="4"/>
  <c r="S59" i="4"/>
  <c r="C64" i="4"/>
  <c r="C63" i="4"/>
  <c r="C62" i="4"/>
  <c r="C61" i="4"/>
  <c r="C60" i="4"/>
  <c r="C59" i="4"/>
  <c r="S61" i="4" l="1"/>
  <c r="T61" i="4" s="1"/>
  <c r="U61" i="4" s="1"/>
  <c r="V61" i="4"/>
  <c r="V60" i="4"/>
  <c r="K71" i="4"/>
  <c r="H70" i="4"/>
  <c r="V59" i="4"/>
  <c r="H69" i="4"/>
  <c r="F70" i="4"/>
  <c r="S62" i="4"/>
  <c r="T62" i="4" s="1"/>
  <c r="U62" i="4" s="1"/>
  <c r="F69" i="4"/>
  <c r="S63" i="4"/>
  <c r="T63" i="4" s="1"/>
  <c r="U63" i="4" s="1"/>
  <c r="D70" i="4"/>
  <c r="D69" i="4"/>
  <c r="B70" i="4"/>
  <c r="B69" i="4"/>
  <c r="K72" i="4"/>
  <c r="K73" i="4"/>
  <c r="S64" i="4"/>
  <c r="T64" i="4" s="1"/>
  <c r="U64" i="4" s="1"/>
  <c r="V63" i="4" l="1"/>
  <c r="V64" i="4"/>
  <c r="K70" i="4"/>
  <c r="V62" i="4"/>
  <c r="K69" i="4"/>
  <c r="G38" i="4"/>
  <c r="G39" i="4"/>
  <c r="G37" i="4"/>
  <c r="C191" i="2"/>
  <c r="G217" i="2"/>
  <c r="H217" i="2"/>
  <c r="J217" i="2"/>
  <c r="K217" i="2"/>
  <c r="L212" i="2"/>
  <c r="L213" i="2"/>
  <c r="L214" i="2"/>
  <c r="L215" i="2"/>
  <c r="L216" i="2"/>
  <c r="L211" i="2"/>
  <c r="L217" i="2" s="1"/>
  <c r="I212" i="2"/>
  <c r="I213" i="2"/>
  <c r="I214" i="2"/>
  <c r="I215" i="2"/>
  <c r="I216" i="2"/>
  <c r="I217" i="2" s="1"/>
  <c r="I211" i="2"/>
  <c r="F212" i="2"/>
  <c r="F213" i="2"/>
  <c r="F214" i="2"/>
  <c r="F215" i="2"/>
  <c r="F216" i="2"/>
  <c r="F211" i="2"/>
  <c r="F217" i="2" s="1"/>
  <c r="Q198" i="2"/>
  <c r="Q200" i="2"/>
  <c r="Q201" i="2"/>
  <c r="R202" i="2" s="1"/>
  <c r="Q202" i="2"/>
  <c r="Q206" i="2"/>
  <c r="Q196" i="2"/>
  <c r="P201" i="2"/>
  <c r="P202" i="2"/>
  <c r="P204" i="2"/>
  <c r="Q204" i="2" s="1"/>
  <c r="P205" i="2"/>
  <c r="Q205" i="2" s="1"/>
  <c r="R206" i="2" s="1"/>
  <c r="P206" i="2"/>
  <c r="P200" i="2"/>
  <c r="P198" i="2"/>
  <c r="P197" i="2"/>
  <c r="Q197" i="2" s="1"/>
  <c r="R198" i="2" s="1"/>
  <c r="Q209" i="2" s="1"/>
  <c r="U190" i="2"/>
  <c r="U189" i="2"/>
  <c r="D189" i="2" s="1"/>
  <c r="U188" i="2"/>
  <c r="F189" i="2"/>
  <c r="F190" i="2" s="1"/>
  <c r="F191" i="2" s="1"/>
  <c r="F192" i="2" s="1"/>
  <c r="AB119" i="2"/>
  <c r="Z120" i="2"/>
  <c r="AB120" i="2" s="1"/>
  <c r="AC120" i="2" s="1"/>
  <c r="Z123" i="2"/>
  <c r="AB123" i="2" s="1"/>
  <c r="Z124" i="2"/>
  <c r="AB124" i="2" s="1"/>
  <c r="Z119" i="2"/>
  <c r="Y120" i="2"/>
  <c r="Y121" i="2"/>
  <c r="Z121" i="2" s="1"/>
  <c r="AB121" i="2" s="1"/>
  <c r="AC121" i="2" s="1"/>
  <c r="Y122" i="2"/>
  <c r="Z122" i="2" s="1"/>
  <c r="AB122" i="2" s="1"/>
  <c r="Y123" i="2"/>
  <c r="Y124" i="2"/>
  <c r="Y119" i="2"/>
  <c r="G107" i="2"/>
  <c r="J107" i="2" s="1"/>
  <c r="G108" i="2"/>
  <c r="J108" i="2" s="1"/>
  <c r="F107" i="2"/>
  <c r="F108" i="2"/>
  <c r="F109" i="2"/>
  <c r="G109" i="2" s="1"/>
  <c r="J109" i="2" s="1"/>
  <c r="F110" i="2"/>
  <c r="G110" i="2" s="1"/>
  <c r="J110" i="2" s="1"/>
  <c r="E107" i="2"/>
  <c r="E108" i="2"/>
  <c r="E109" i="2"/>
  <c r="E110" i="2"/>
  <c r="E111" i="2"/>
  <c r="F111" i="2" s="1"/>
  <c r="G111" i="2" s="1"/>
  <c r="J111" i="2" s="1"/>
  <c r="E106" i="2"/>
  <c r="F106" i="2" s="1"/>
  <c r="G106" i="2" s="1"/>
  <c r="H106" i="2" s="1"/>
  <c r="J106" i="2" s="1"/>
  <c r="K107" i="2" s="1"/>
  <c r="K108" i="2" s="1"/>
  <c r="K109" i="2" s="1"/>
  <c r="J188" i="2"/>
  <c r="R192" i="2"/>
  <c r="R189" i="2"/>
  <c r="Q190" i="2"/>
  <c r="R190" i="2" s="1"/>
  <c r="J189" i="2" s="1"/>
  <c r="Q191" i="2"/>
  <c r="R191" i="2" s="1"/>
  <c r="Q192" i="2"/>
  <c r="Q193" i="2"/>
  <c r="R193" i="2" s="1"/>
  <c r="Q194" i="2"/>
  <c r="R194" i="2" s="1"/>
  <c r="Q189" i="2"/>
  <c r="Q130" i="2"/>
  <c r="Q131" i="2"/>
  <c r="Q132" i="2"/>
  <c r="Q133" i="2"/>
  <c r="Q134" i="2"/>
  <c r="Q129" i="2"/>
  <c r="I130" i="2"/>
  <c r="I131" i="2"/>
  <c r="I132" i="2"/>
  <c r="I133" i="2"/>
  <c r="I134" i="2"/>
  <c r="I129" i="2"/>
  <c r="L152" i="2"/>
  <c r="L153" i="2"/>
  <c r="L154" i="2"/>
  <c r="L155" i="2"/>
  <c r="L156" i="2"/>
  <c r="L151" i="2"/>
  <c r="M191" i="2"/>
  <c r="M190" i="2"/>
  <c r="M189" i="2"/>
  <c r="M192" i="2"/>
  <c r="M188" i="2"/>
  <c r="L170" i="2"/>
  <c r="L171" i="2"/>
  <c r="L172" i="2"/>
  <c r="L173" i="2"/>
  <c r="L174" i="2"/>
  <c r="L169" i="2"/>
  <c r="L161" i="2"/>
  <c r="L162" i="2"/>
  <c r="L163" i="2"/>
  <c r="L164" i="2"/>
  <c r="L165" i="2"/>
  <c r="L160" i="2"/>
  <c r="J190" i="2" l="1"/>
  <c r="G219" i="2"/>
  <c r="I219" i="2" s="1"/>
  <c r="Q208" i="2"/>
  <c r="D191" i="2" s="1"/>
  <c r="D192" i="2" s="1"/>
  <c r="K110" i="2"/>
  <c r="J191" i="2"/>
  <c r="J192" i="2" s="1"/>
  <c r="AC122" i="2"/>
  <c r="AC123" i="2" s="1"/>
  <c r="U191" i="2"/>
  <c r="Y152" i="2"/>
  <c r="T152" i="2"/>
  <c r="T151" i="2"/>
  <c r="U151" i="2"/>
  <c r="U152" i="2" s="1"/>
  <c r="V151" i="2"/>
  <c r="V152" i="2" s="1"/>
  <c r="W151" i="2"/>
  <c r="W152" i="2" s="1"/>
  <c r="X151" i="2"/>
  <c r="X152" i="2" s="1"/>
  <c r="Y151" i="2"/>
  <c r="Z151" i="2"/>
  <c r="Z152" i="2" s="1"/>
  <c r="S151" i="2"/>
  <c r="T149" i="2"/>
  <c r="U149" i="2"/>
  <c r="E180" i="2"/>
  <c r="E181" i="2"/>
  <c r="E182" i="2"/>
  <c r="E183" i="2"/>
  <c r="E184" i="2"/>
  <c r="E179" i="2"/>
  <c r="V149" i="2"/>
  <c r="W149" i="2"/>
  <c r="X149" i="2"/>
  <c r="Y149" i="2"/>
  <c r="Z149" i="2"/>
  <c r="S149" i="2"/>
  <c r="T148" i="2"/>
  <c r="U148" i="2"/>
  <c r="V148" i="2"/>
  <c r="W148" i="2"/>
  <c r="X148" i="2"/>
  <c r="Y148" i="2"/>
  <c r="Z148" i="2"/>
  <c r="S148" i="2"/>
  <c r="T147" i="2"/>
  <c r="U147" i="2"/>
  <c r="V147" i="2"/>
  <c r="W147" i="2"/>
  <c r="X147" i="2"/>
  <c r="Y147" i="2"/>
  <c r="Z147" i="2"/>
  <c r="S147" i="2"/>
  <c r="K170" i="2"/>
  <c r="K171" i="2"/>
  <c r="K172" i="2"/>
  <c r="K173" i="2"/>
  <c r="K174" i="2"/>
  <c r="K169" i="2"/>
  <c r="K161" i="2"/>
  <c r="K162" i="2"/>
  <c r="K163" i="2"/>
  <c r="K164" i="2"/>
  <c r="K165" i="2"/>
  <c r="K160" i="2"/>
  <c r="K152" i="2"/>
  <c r="K153" i="2"/>
  <c r="K154" i="2"/>
  <c r="K155" i="2"/>
  <c r="K156" i="2"/>
  <c r="K151" i="2"/>
  <c r="Y132" i="2"/>
  <c r="X129" i="2"/>
  <c r="Y130" i="2" s="1"/>
  <c r="X131" i="2"/>
  <c r="X132" i="2"/>
  <c r="Y136" i="2" s="1"/>
  <c r="X133" i="2"/>
  <c r="X134" i="2"/>
  <c r="X135" i="2"/>
  <c r="X136" i="2"/>
  <c r="X128" i="2"/>
  <c r="R130" i="2"/>
  <c r="R131" i="2"/>
  <c r="R132" i="2"/>
  <c r="R133" i="2"/>
  <c r="R134" i="2"/>
  <c r="R129" i="2"/>
  <c r="P130" i="2"/>
  <c r="P131" i="2"/>
  <c r="P132" i="2"/>
  <c r="P133" i="2"/>
  <c r="P134" i="2"/>
  <c r="P129" i="2"/>
  <c r="H130" i="2"/>
  <c r="H131" i="2"/>
  <c r="H132" i="2"/>
  <c r="H133" i="2"/>
  <c r="H134" i="2"/>
  <c r="H129" i="2"/>
  <c r="J152" i="2"/>
  <c r="J153" i="2"/>
  <c r="J154" i="2"/>
  <c r="J155" i="2"/>
  <c r="J156" i="2"/>
  <c r="J151" i="2"/>
  <c r="I152" i="2"/>
  <c r="I153" i="2"/>
  <c r="I154" i="2"/>
  <c r="I155" i="2"/>
  <c r="I156" i="2"/>
  <c r="I151" i="2"/>
  <c r="J170" i="2"/>
  <c r="J171" i="2"/>
  <c r="J172" i="2"/>
  <c r="J173" i="2"/>
  <c r="J174" i="2"/>
  <c r="J169" i="2"/>
  <c r="J161" i="2"/>
  <c r="J162" i="2"/>
  <c r="J163" i="2"/>
  <c r="J164" i="2"/>
  <c r="J165" i="2"/>
  <c r="J160" i="2"/>
  <c r="I161" i="2"/>
  <c r="I162" i="2"/>
  <c r="I163" i="2"/>
  <c r="I164" i="2"/>
  <c r="I165" i="2"/>
  <c r="I160" i="2"/>
  <c r="I170" i="2"/>
  <c r="I171" i="2"/>
  <c r="I172" i="2"/>
  <c r="I173" i="2"/>
  <c r="I174" i="2"/>
  <c r="I169" i="2"/>
  <c r="F146" i="2"/>
  <c r="F145" i="2"/>
  <c r="H170" i="2"/>
  <c r="M170" i="2" s="1"/>
  <c r="H171" i="2"/>
  <c r="M171" i="2" s="1"/>
  <c r="H172" i="2"/>
  <c r="M172" i="2" s="1"/>
  <c r="H173" i="2"/>
  <c r="M173" i="2" s="1"/>
  <c r="H174" i="2"/>
  <c r="M174" i="2" s="1"/>
  <c r="H169" i="2"/>
  <c r="M169" i="2" s="1"/>
  <c r="O169" i="2" s="1"/>
  <c r="P169" i="2" s="1"/>
  <c r="C144" i="2"/>
  <c r="D144" i="2"/>
  <c r="E144" i="2"/>
  <c r="F144" i="2"/>
  <c r="H144" i="2"/>
  <c r="I144" i="2"/>
  <c r="J144" i="2"/>
  <c r="B144" i="2"/>
  <c r="C147" i="2"/>
  <c r="D147" i="2"/>
  <c r="E147" i="2"/>
  <c r="F147" i="2"/>
  <c r="H147" i="2"/>
  <c r="I147" i="2"/>
  <c r="J147" i="2"/>
  <c r="B147" i="2"/>
  <c r="H161" i="2"/>
  <c r="M161" i="2" s="1"/>
  <c r="H162" i="2"/>
  <c r="M162" i="2" s="1"/>
  <c r="H163" i="2"/>
  <c r="M163" i="2" s="1"/>
  <c r="H164" i="2"/>
  <c r="M164" i="2" s="1"/>
  <c r="H165" i="2"/>
  <c r="M165" i="2" s="1"/>
  <c r="H160" i="2"/>
  <c r="M160" i="2" s="1"/>
  <c r="O160" i="2" s="1"/>
  <c r="P160" i="2" s="1"/>
  <c r="H145" i="2"/>
  <c r="H152" i="2"/>
  <c r="M152" i="2" s="1"/>
  <c r="H153" i="2"/>
  <c r="M153" i="2" s="1"/>
  <c r="H154" i="2"/>
  <c r="M154" i="2" s="1"/>
  <c r="H155" i="2"/>
  <c r="M155" i="2" s="1"/>
  <c r="H156" i="2"/>
  <c r="M156" i="2" s="1"/>
  <c r="H151" i="2"/>
  <c r="M151" i="2" s="1"/>
  <c r="O151" i="2" s="1"/>
  <c r="P151" i="2" s="1"/>
  <c r="B145" i="2"/>
  <c r="B146" i="2" s="1"/>
  <c r="D146" i="2"/>
  <c r="E146" i="2"/>
  <c r="H146" i="2"/>
  <c r="I146" i="2"/>
  <c r="C146" i="2"/>
  <c r="D145" i="2"/>
  <c r="E145" i="2"/>
  <c r="I145" i="2"/>
  <c r="J145" i="2"/>
  <c r="J146" i="2" s="1"/>
  <c r="C145" i="2"/>
  <c r="G140" i="2"/>
  <c r="G139" i="2"/>
  <c r="G138" i="2"/>
  <c r="G147" i="2" s="1"/>
  <c r="M140" i="2"/>
  <c r="N139" i="2"/>
  <c r="M139" i="2"/>
  <c r="N138" i="2"/>
  <c r="M138" i="2"/>
  <c r="O129" i="2"/>
  <c r="O130" i="2"/>
  <c r="O131" i="2"/>
  <c r="O132" i="2"/>
  <c r="O133" i="2"/>
  <c r="O134" i="2"/>
  <c r="G130" i="2"/>
  <c r="G131" i="2"/>
  <c r="G132" i="2"/>
  <c r="G133" i="2"/>
  <c r="G134" i="2"/>
  <c r="G129" i="2"/>
  <c r="U122" i="2"/>
  <c r="U123" i="2"/>
  <c r="T120" i="2"/>
  <c r="T121" i="2"/>
  <c r="T122" i="2"/>
  <c r="T123" i="2"/>
  <c r="T124" i="2"/>
  <c r="T119" i="2"/>
  <c r="O119" i="2"/>
  <c r="U119" i="2" s="1"/>
  <c r="P119" i="2"/>
  <c r="O120" i="2"/>
  <c r="U120" i="2" s="1"/>
  <c r="P120" i="2"/>
  <c r="O121" i="2"/>
  <c r="U121" i="2" s="1"/>
  <c r="P121" i="2"/>
  <c r="O122" i="2"/>
  <c r="P122" i="2"/>
  <c r="O123" i="2"/>
  <c r="P123" i="2"/>
  <c r="O124" i="2"/>
  <c r="U124" i="2" s="1"/>
  <c r="P124" i="2"/>
  <c r="G120" i="2"/>
  <c r="G121" i="2"/>
  <c r="G122" i="2"/>
  <c r="G123" i="2"/>
  <c r="G124" i="2"/>
  <c r="G119" i="2"/>
  <c r="F120" i="2"/>
  <c r="I120" i="2" s="1"/>
  <c r="F121" i="2"/>
  <c r="I121" i="2" s="1"/>
  <c r="F122" i="2"/>
  <c r="I122" i="2" s="1"/>
  <c r="F123" i="2"/>
  <c r="I123" i="2" s="1"/>
  <c r="F124" i="2"/>
  <c r="I124" i="2" s="1"/>
  <c r="F119" i="2"/>
  <c r="I119" i="2" s="1"/>
  <c r="O153" i="2" l="1"/>
  <c r="P153" i="2" s="1"/>
  <c r="O161" i="2"/>
  <c r="P161" i="2" s="1"/>
  <c r="O171" i="2"/>
  <c r="P171" i="2" s="1"/>
  <c r="O155" i="2"/>
  <c r="P155" i="2" s="1"/>
  <c r="O162" i="2"/>
  <c r="P162" i="2" s="1"/>
  <c r="G144" i="2"/>
  <c r="O152" i="2"/>
  <c r="P152" i="2" s="1"/>
  <c r="G145" i="2"/>
  <c r="G146" i="2" s="1"/>
  <c r="O170" i="2"/>
  <c r="P170" i="2" s="1"/>
  <c r="O154" i="2"/>
  <c r="P154" i="2" s="1"/>
  <c r="O172" i="2"/>
  <c r="P172" i="2" s="1"/>
  <c r="CB85" i="2"/>
  <c r="CB84" i="2"/>
  <c r="CA85" i="2"/>
  <c r="CA86" i="2" s="1"/>
  <c r="Z88" i="2"/>
  <c r="Z84" i="2"/>
  <c r="AB89" i="2"/>
  <c r="Z89" i="2" s="1"/>
  <c r="AB88" i="2"/>
  <c r="AA88" i="2"/>
  <c r="AB87" i="2"/>
  <c r="AA87" i="2"/>
  <c r="Z87" i="2" s="1"/>
  <c r="AB86" i="2"/>
  <c r="AA86" i="2"/>
  <c r="Z86" i="2" s="1"/>
  <c r="AB85" i="2"/>
  <c r="AA85" i="2"/>
  <c r="Z85" i="2" s="1"/>
  <c r="AB84" i="2"/>
  <c r="AA84" i="2"/>
  <c r="BN91" i="2"/>
  <c r="AR99" i="2"/>
  <c r="AS99" i="2"/>
  <c r="AR100" i="2"/>
  <c r="AS100" i="2"/>
  <c r="AR101" i="2"/>
  <c r="AS101" i="2"/>
  <c r="AR102" i="2"/>
  <c r="AS102" i="2"/>
  <c r="AR103" i="2"/>
  <c r="AS103" i="2"/>
  <c r="AR98" i="2"/>
  <c r="AS98" i="2"/>
  <c r="AQ99" i="2"/>
  <c r="AQ100" i="2"/>
  <c r="AQ101" i="2"/>
  <c r="AQ102" i="2"/>
  <c r="AQ103" i="2"/>
  <c r="AQ98" i="2"/>
  <c r="AO96" i="2"/>
  <c r="AN96" i="2"/>
  <c r="AQ96" i="2" s="1"/>
  <c r="AO95" i="2"/>
  <c r="AN95" i="2"/>
  <c r="AO94" i="2"/>
  <c r="AN94" i="2"/>
  <c r="AQ94" i="2" s="1"/>
  <c r="AO93" i="2"/>
  <c r="AN93" i="2"/>
  <c r="AQ93" i="2" s="1"/>
  <c r="AO92" i="2"/>
  <c r="AN92" i="2"/>
  <c r="AQ92" i="2" s="1"/>
  <c r="AO91" i="2"/>
  <c r="AN91" i="2"/>
  <c r="AL96" i="2"/>
  <c r="AK96" i="2"/>
  <c r="AJ96" i="2" s="1"/>
  <c r="AL95" i="2"/>
  <c r="AK95" i="2"/>
  <c r="AJ95" i="2" s="1"/>
  <c r="AL94" i="2"/>
  <c r="AK94" i="2"/>
  <c r="AJ94" i="2" s="1"/>
  <c r="AL93" i="2"/>
  <c r="AK93" i="2"/>
  <c r="AL92" i="2"/>
  <c r="AK92" i="2"/>
  <c r="AJ92" i="2" s="1"/>
  <c r="AL91" i="2"/>
  <c r="AK91" i="2"/>
  <c r="AJ91" i="2" s="1"/>
  <c r="BD92" i="2"/>
  <c r="BD93" i="2"/>
  <c r="BD94" i="2"/>
  <c r="BA93" i="2"/>
  <c r="BA94" i="2"/>
  <c r="BA95" i="2"/>
  <c r="BA96" i="2"/>
  <c r="AX92" i="2"/>
  <c r="AX95" i="2"/>
  <c r="AU96" i="2"/>
  <c r="AU92" i="2"/>
  <c r="AU93" i="2"/>
  <c r="AU94" i="2"/>
  <c r="BF88" i="2"/>
  <c r="BF87" i="2"/>
  <c r="BF85" i="2"/>
  <c r="BA92" i="2" s="1"/>
  <c r="AP85" i="2"/>
  <c r="AP86" i="2"/>
  <c r="AP87" i="2"/>
  <c r="AP88" i="2"/>
  <c r="AP89" i="2"/>
  <c r="AP84" i="2"/>
  <c r="BF86" i="2"/>
  <c r="BF89" i="2"/>
  <c r="BD96" i="2" s="1"/>
  <c r="AX96" i="2" l="1"/>
  <c r="O173" i="2"/>
  <c r="P173" i="2" s="1"/>
  <c r="BG89" i="2"/>
  <c r="BH89" i="2" s="1"/>
  <c r="BQ89" i="2"/>
  <c r="AR93" i="2"/>
  <c r="BQ86" i="2"/>
  <c r="AX94" i="2"/>
  <c r="AU91" i="2"/>
  <c r="AX93" i="2"/>
  <c r="BD95" i="2"/>
  <c r="AJ93" i="2"/>
  <c r="AQ91" i="2"/>
  <c r="AQ95" i="2"/>
  <c r="O163" i="2"/>
  <c r="CA87" i="2"/>
  <c r="CB86" i="2"/>
  <c r="AU95" i="2"/>
  <c r="AR96" i="2"/>
  <c r="BG86" i="2"/>
  <c r="BH86" i="2" s="1"/>
  <c r="AR94" i="2"/>
  <c r="BG87" i="2"/>
  <c r="BH87" i="2" s="1"/>
  <c r="AR95" i="2"/>
  <c r="BG88" i="2"/>
  <c r="BH88" i="2" s="1"/>
  <c r="BG85" i="2"/>
  <c r="BH85" i="2" s="1"/>
  <c r="AR92" i="2"/>
  <c r="C183" i="3"/>
  <c r="E183" i="3" s="1"/>
  <c r="C185" i="3" l="1"/>
  <c r="BQ85" i="2"/>
  <c r="BQ87" i="2"/>
  <c r="P163" i="2"/>
  <c r="O164" i="2"/>
  <c r="P164" i="2" s="1"/>
  <c r="BQ88" i="2"/>
  <c r="CB87" i="2"/>
  <c r="CA88" i="2"/>
  <c r="C25" i="3"/>
  <c r="D25" i="3"/>
  <c r="E25" i="3"/>
  <c r="F25" i="3"/>
  <c r="G25" i="3"/>
  <c r="B25" i="3"/>
  <c r="B26" i="3"/>
  <c r="B30" i="3"/>
  <c r="C30" i="3"/>
  <c r="D30" i="3"/>
  <c r="D32" i="3" s="1"/>
  <c r="E30" i="3"/>
  <c r="E32" i="3" s="1"/>
  <c r="F30" i="3"/>
  <c r="F32" i="3" s="1"/>
  <c r="G30" i="3"/>
  <c r="G32" i="3" s="1"/>
  <c r="C32" i="3"/>
  <c r="C34" i="3"/>
  <c r="C36" i="3"/>
  <c r="D36" i="3"/>
  <c r="E36" i="3"/>
  <c r="F36" i="3"/>
  <c r="G36" i="3"/>
  <c r="CB88" i="2" l="1"/>
  <c r="CA89" i="2"/>
  <c r="CB89" i="2" s="1"/>
  <c r="R57" i="3"/>
  <c r="S57" i="3"/>
  <c r="T57" i="3"/>
  <c r="U57" i="3"/>
  <c r="V57" i="3"/>
  <c r="Q57" i="3"/>
  <c r="R56" i="3"/>
  <c r="S56" i="3"/>
  <c r="T56" i="3"/>
  <c r="U56" i="3"/>
  <c r="V56" i="3"/>
  <c r="Q56" i="3"/>
  <c r="B16" i="3" l="1"/>
  <c r="I16" i="3" s="1"/>
  <c r="B18" i="3"/>
  <c r="B15" i="3"/>
  <c r="I15" i="3" s="1"/>
  <c r="B5" i="3"/>
  <c r="B17" i="3" s="1"/>
  <c r="I17" i="3" s="1"/>
  <c r="I25" i="3" l="1"/>
  <c r="B10" i="3"/>
  <c r="B9" i="3"/>
  <c r="B12" i="3" s="1"/>
  <c r="R59" i="2"/>
  <c r="R58" i="2"/>
  <c r="R57" i="2"/>
  <c r="R56" i="2"/>
  <c r="AT58" i="2" l="1"/>
  <c r="K129" i="3" l="1"/>
  <c r="K127" i="3"/>
  <c r="D145" i="3"/>
  <c r="G85" i="3" l="1"/>
  <c r="C85" i="3"/>
  <c r="E77" i="3"/>
  <c r="I77" i="3"/>
  <c r="G116" i="3"/>
  <c r="G117" i="3"/>
  <c r="G118" i="3"/>
  <c r="G119" i="3"/>
  <c r="G120" i="3"/>
  <c r="H120" i="3" s="1"/>
  <c r="G115" i="3"/>
  <c r="C113" i="3"/>
  <c r="C114" i="3"/>
  <c r="C115" i="3"/>
  <c r="C116" i="3"/>
  <c r="C117" i="3"/>
  <c r="C118" i="3"/>
  <c r="C119" i="3"/>
  <c r="D120" i="3" s="1"/>
  <c r="D136" i="3" s="1"/>
  <c r="C120" i="3"/>
  <c r="C112" i="3"/>
  <c r="M121" i="3"/>
  <c r="M122" i="3" s="1"/>
  <c r="M126" i="3" s="1"/>
  <c r="L121" i="3"/>
  <c r="L122" i="3" s="1"/>
  <c r="L126" i="3" s="1"/>
  <c r="M81" i="3"/>
  <c r="M82" i="3" s="1"/>
  <c r="G129" i="3" l="1"/>
  <c r="G130" i="3"/>
  <c r="T82" i="2"/>
  <c r="V79" i="2"/>
  <c r="V77" i="2"/>
  <c r="V75" i="2"/>
  <c r="T63" i="2" l="1"/>
  <c r="T62" i="2"/>
  <c r="T56" i="2"/>
  <c r="T57" i="2"/>
  <c r="T52" i="2"/>
  <c r="AO55" i="2"/>
  <c r="AN57" i="2" l="1"/>
  <c r="AN47" i="2"/>
  <c r="AN60" i="2" s="1"/>
  <c r="AN48" i="2"/>
  <c r="AN62" i="2" s="1"/>
  <c r="AN46" i="2"/>
  <c r="AO47" i="2"/>
  <c r="AO60" i="2" s="1"/>
  <c r="AO48" i="2"/>
  <c r="AO62" i="2" s="1"/>
  <c r="AO46" i="2"/>
  <c r="AO51" i="2" s="1"/>
  <c r="AI47" i="2"/>
  <c r="AI48" i="2"/>
  <c r="AI46" i="2"/>
  <c r="AN51" i="2" l="1"/>
  <c r="AN53" i="2" s="1"/>
  <c r="AN55" i="2" s="1"/>
  <c r="AN58" i="2" s="1"/>
  <c r="AH48" i="2"/>
  <c r="AM48" i="2" s="1"/>
  <c r="AG48" i="2"/>
  <c r="AL48" i="2" s="1"/>
  <c r="AF47" i="2"/>
  <c r="AK47" i="2" s="1"/>
  <c r="AD48" i="2"/>
  <c r="AB52" i="2"/>
  <c r="AC48" i="2"/>
  <c r="AC47" i="2"/>
  <c r="AC46" i="2"/>
  <c r="AB47" i="2"/>
  <c r="AB46" i="2"/>
  <c r="AA48" i="2"/>
  <c r="AA47" i="2"/>
  <c r="AA46" i="2"/>
  <c r="X48" i="2"/>
  <c r="X47" i="2"/>
  <c r="AH47" i="2" s="1"/>
  <c r="AM47" i="2" s="1"/>
  <c r="X46" i="2"/>
  <c r="AH46" i="2" s="1"/>
  <c r="AM46" i="2" s="1"/>
  <c r="W48" i="2"/>
  <c r="W47" i="2"/>
  <c r="AG47" i="2" s="1"/>
  <c r="AL47" i="2" s="1"/>
  <c r="W46" i="2"/>
  <c r="AG46" i="2" s="1"/>
  <c r="AL46" i="2" s="1"/>
  <c r="V48" i="2"/>
  <c r="AF48" i="2" s="1"/>
  <c r="AK48" i="2" s="1"/>
  <c r="V47" i="2"/>
  <c r="V46" i="2"/>
  <c r="AF46" i="2" s="1"/>
  <c r="AK46" i="2" s="1"/>
  <c r="U48" i="2"/>
  <c r="U53" i="2" s="1"/>
  <c r="U58" i="2" s="1"/>
  <c r="U64" i="2" s="1"/>
  <c r="U47" i="2"/>
  <c r="U52" i="2" s="1"/>
  <c r="U57" i="2" s="1"/>
  <c r="U63" i="2" s="1"/>
  <c r="U46" i="2"/>
  <c r="U51" i="2" s="1"/>
  <c r="U56" i="2" s="1"/>
  <c r="T48" i="2"/>
  <c r="T53" i="2" s="1"/>
  <c r="T58" i="2" s="1"/>
  <c r="T47" i="2"/>
  <c r="AD47" i="2" s="1"/>
  <c r="T46" i="2"/>
  <c r="AD46" i="2" s="1"/>
  <c r="T59" i="2" l="1"/>
  <c r="T64" i="2"/>
  <c r="T65" i="2" s="1"/>
  <c r="AE48" i="2"/>
  <c r="AJ48" i="2" s="1"/>
  <c r="AE47" i="2"/>
  <c r="AJ47" i="2" s="1"/>
  <c r="U59" i="2"/>
  <c r="U62" i="2"/>
  <c r="U65" i="2" s="1"/>
  <c r="AE46" i="2"/>
  <c r="AJ46" i="2" s="1"/>
  <c r="AO58" i="2"/>
  <c r="AN64" i="2"/>
  <c r="S48" i="2"/>
  <c r="S47" i="2"/>
  <c r="S46" i="2"/>
  <c r="R48" i="2"/>
  <c r="R47" i="2"/>
  <c r="R46" i="2"/>
  <c r="Q48" i="2"/>
  <c r="Q47" i="2"/>
  <c r="Q46" i="2"/>
  <c r="D21" i="2"/>
  <c r="D20" i="2"/>
  <c r="C21" i="2"/>
  <c r="C20" i="2"/>
  <c r="C19" i="2"/>
  <c r="D48" i="2"/>
  <c r="D47" i="2"/>
  <c r="C48" i="2"/>
  <c r="C47" i="2"/>
  <c r="C46" i="2"/>
  <c r="E48" i="2"/>
  <c r="E47" i="2"/>
  <c r="E46" i="2"/>
  <c r="E49" i="2" s="1"/>
  <c r="E21" i="2"/>
  <c r="E20" i="2"/>
  <c r="E19" i="2"/>
  <c r="E22" i="2" s="1"/>
  <c r="V53" i="2" l="1"/>
  <c r="V58" i="2" s="1"/>
  <c r="V64" i="2" s="1"/>
  <c r="AP48" i="2"/>
  <c r="AP62" i="2" s="1"/>
  <c r="W53" i="2"/>
  <c r="W58" i="2" s="1"/>
  <c r="W64" i="2" s="1"/>
  <c r="AQ48" i="2"/>
  <c r="AQ62" i="2" s="1"/>
  <c r="X51" i="2"/>
  <c r="X56" i="2" s="1"/>
  <c r="AR46" i="2"/>
  <c r="X52" i="2"/>
  <c r="X57" i="2" s="1"/>
  <c r="AR47" i="2"/>
  <c r="AR60" i="2" s="1"/>
  <c r="W51" i="2"/>
  <c r="W56" i="2" s="1"/>
  <c r="AQ46" i="2"/>
  <c r="V51" i="2"/>
  <c r="V56" i="2" s="1"/>
  <c r="AP46" i="2"/>
  <c r="AO67" i="2"/>
  <c r="AO64" i="2"/>
  <c r="AO68" i="2" s="1"/>
  <c r="W52" i="2"/>
  <c r="W57" i="2" s="1"/>
  <c r="W63" i="2" s="1"/>
  <c r="AQ47" i="2"/>
  <c r="AQ60" i="2" s="1"/>
  <c r="X53" i="2"/>
  <c r="X58" i="2" s="1"/>
  <c r="AR48" i="2"/>
  <c r="AR62" i="2" s="1"/>
  <c r="V52" i="2"/>
  <c r="V57" i="2" s="1"/>
  <c r="V63" i="2" s="1"/>
  <c r="AP47" i="2"/>
  <c r="AP60" i="2" s="1"/>
  <c r="D148" i="1"/>
  <c r="D147" i="1"/>
  <c r="AR51" i="2" l="1"/>
  <c r="AR53" i="2" s="1"/>
  <c r="AR55" i="2" s="1"/>
  <c r="AR58" i="2"/>
  <c r="AR64" i="2" s="1"/>
  <c r="AR67" i="2"/>
  <c r="Z57" i="2"/>
  <c r="X63" i="2"/>
  <c r="Z56" i="2"/>
  <c r="X62" i="2"/>
  <c r="X59" i="2"/>
  <c r="Z59" i="2" s="1"/>
  <c r="AP51" i="2"/>
  <c r="AP53" i="2" s="1"/>
  <c r="AP55" i="2" s="1"/>
  <c r="AP58" i="2"/>
  <c r="V59" i="2"/>
  <c r="V62" i="2"/>
  <c r="V65" i="2" s="1"/>
  <c r="AQ51" i="2"/>
  <c r="AQ53" i="2" s="1"/>
  <c r="AQ55" i="2" s="1"/>
  <c r="AQ58" i="2"/>
  <c r="X64" i="2"/>
  <c r="Z58" i="2"/>
  <c r="W59" i="2"/>
  <c r="W62" i="2"/>
  <c r="W65" i="2" s="1"/>
  <c r="H31" i="1"/>
  <c r="AQ64" i="2" l="1"/>
  <c r="AQ67" i="2"/>
  <c r="AR68" i="2"/>
  <c r="X65" i="2"/>
  <c r="AP67" i="2"/>
  <c r="AP64" i="2"/>
  <c r="AP68" i="2" s="1"/>
  <c r="J31" i="1"/>
  <c r="AQ68" i="2" l="1"/>
  <c r="G64" i="2"/>
  <c r="H64" i="2"/>
  <c r="O16" i="2"/>
  <c r="O17" i="2" s="1"/>
  <c r="O15" i="2"/>
  <c r="B64" i="2"/>
  <c r="C64" i="2"/>
  <c r="D64" i="2"/>
  <c r="D46" i="2"/>
  <c r="D19" i="2"/>
  <c r="D54" i="2" l="1"/>
  <c r="L34" i="2"/>
  <c r="L39" i="2"/>
  <c r="K48" i="2"/>
  <c r="M33" i="2"/>
  <c r="M48" i="2" s="1"/>
  <c r="M43" i="2"/>
  <c r="K32" i="2"/>
  <c r="M32" i="2" s="1"/>
  <c r="M47" i="2" s="1"/>
  <c r="K33" i="2"/>
  <c r="K36" i="2"/>
  <c r="M36" i="2" s="1"/>
  <c r="K37" i="2"/>
  <c r="M37" i="2" s="1"/>
  <c r="K38" i="2"/>
  <c r="M38" i="2" s="1"/>
  <c r="K41" i="2"/>
  <c r="K44" i="2" s="1"/>
  <c r="K42" i="2"/>
  <c r="M42" i="2" s="1"/>
  <c r="K43" i="2"/>
  <c r="K31" i="2"/>
  <c r="K46" i="2" s="1"/>
  <c r="T43" i="2"/>
  <c r="T38" i="2"/>
  <c r="T33" i="2"/>
  <c r="O43" i="2"/>
  <c r="O38" i="2"/>
  <c r="O33" i="2"/>
  <c r="D17" i="2"/>
  <c r="D12" i="2"/>
  <c r="D7" i="2"/>
  <c r="C17" i="2"/>
  <c r="C12" i="2"/>
  <c r="C7" i="2"/>
  <c r="L32" i="2"/>
  <c r="L33" i="2"/>
  <c r="L36" i="2"/>
  <c r="L37" i="2"/>
  <c r="L38" i="2"/>
  <c r="L41" i="2"/>
  <c r="L44" i="2" s="1"/>
  <c r="L42" i="2"/>
  <c r="L43" i="2"/>
  <c r="L31" i="2"/>
  <c r="F51" i="2"/>
  <c r="D52" i="2"/>
  <c r="F52" i="2" s="1"/>
  <c r="D55" i="2" s="1"/>
  <c r="J32" i="2"/>
  <c r="I43" i="2"/>
  <c r="J43" i="2" s="1"/>
  <c r="G43" i="2"/>
  <c r="H43" i="2" s="1"/>
  <c r="I36" i="2"/>
  <c r="I33" i="2"/>
  <c r="I32" i="2"/>
  <c r="G32" i="2"/>
  <c r="H32" i="2" s="1"/>
  <c r="G33" i="2"/>
  <c r="H33" i="2" s="1"/>
  <c r="G36" i="2"/>
  <c r="H36" i="2" s="1"/>
  <c r="G37" i="2"/>
  <c r="I37" i="2" s="1"/>
  <c r="G38" i="2"/>
  <c r="H38" i="2" s="1"/>
  <c r="G41" i="2"/>
  <c r="I41" i="2" s="1"/>
  <c r="G42" i="2"/>
  <c r="I42" i="2" s="1"/>
  <c r="J42" i="2" s="1"/>
  <c r="G31" i="2"/>
  <c r="I31" i="2" s="1"/>
  <c r="L25" i="2"/>
  <c r="L24" i="2"/>
  <c r="F25" i="2"/>
  <c r="F24" i="2"/>
  <c r="J14" i="2"/>
  <c r="J15" i="2"/>
  <c r="I15" i="2"/>
  <c r="I14" i="2"/>
  <c r="I10" i="2"/>
  <c r="J10" i="2" s="1"/>
  <c r="I6" i="2"/>
  <c r="J6" i="2" s="1"/>
  <c r="H10" i="2"/>
  <c r="H14" i="2"/>
  <c r="G5" i="2"/>
  <c r="I5" i="2" s="1"/>
  <c r="G6" i="2"/>
  <c r="H6" i="2" s="1"/>
  <c r="G9" i="2"/>
  <c r="H9" i="2" s="1"/>
  <c r="G10" i="2"/>
  <c r="G11" i="2"/>
  <c r="I11" i="2" s="1"/>
  <c r="J11" i="2" s="1"/>
  <c r="G14" i="2"/>
  <c r="G15" i="2"/>
  <c r="H15" i="2" s="1"/>
  <c r="G16" i="2"/>
  <c r="I16" i="2" s="1"/>
  <c r="J16" i="2" s="1"/>
  <c r="G4" i="2"/>
  <c r="H4" i="2" s="1"/>
  <c r="O4" i="2"/>
  <c r="I47" i="2" l="1"/>
  <c r="J37" i="2"/>
  <c r="J47" i="2" s="1"/>
  <c r="L47" i="2" s="1"/>
  <c r="I17" i="2"/>
  <c r="I46" i="2"/>
  <c r="I34" i="2"/>
  <c r="J31" i="2"/>
  <c r="H21" i="2"/>
  <c r="J41" i="2"/>
  <c r="J44" i="2" s="1"/>
  <c r="I44" i="2"/>
  <c r="J21" i="2"/>
  <c r="H19" i="2"/>
  <c r="I20" i="2"/>
  <c r="J5" i="2"/>
  <c r="J20" i="2" s="1"/>
  <c r="J17" i="2"/>
  <c r="M39" i="2"/>
  <c r="I21" i="2"/>
  <c r="H31" i="2"/>
  <c r="H11" i="2"/>
  <c r="I9" i="2"/>
  <c r="H42" i="2"/>
  <c r="J36" i="2"/>
  <c r="M31" i="2"/>
  <c r="H41" i="2"/>
  <c r="J33" i="2"/>
  <c r="K47" i="2"/>
  <c r="H37" i="2"/>
  <c r="M41" i="2"/>
  <c r="M44" i="2" s="1"/>
  <c r="H5" i="2"/>
  <c r="H20" i="2" s="1"/>
  <c r="I38" i="2"/>
  <c r="J38" i="2" s="1"/>
  <c r="K39" i="2"/>
  <c r="I4" i="2"/>
  <c r="K34" i="2"/>
  <c r="K49" i="2" s="1"/>
  <c r="H16" i="2"/>
  <c r="L20" i="2"/>
  <c r="M5" i="2"/>
  <c r="M20" i="2" s="1"/>
  <c r="M6" i="2"/>
  <c r="M9" i="2"/>
  <c r="M10" i="2"/>
  <c r="M11" i="2"/>
  <c r="M21" i="2" s="1"/>
  <c r="M14" i="2"/>
  <c r="M15" i="2"/>
  <c r="M16" i="2"/>
  <c r="M4" i="2"/>
  <c r="M19" i="2" s="1"/>
  <c r="L5" i="2"/>
  <c r="L6" i="2"/>
  <c r="L9" i="2"/>
  <c r="L10" i="2"/>
  <c r="L11" i="2"/>
  <c r="L21" i="2" s="1"/>
  <c r="L14" i="2"/>
  <c r="L19" i="2" s="1"/>
  <c r="L15" i="2"/>
  <c r="L16" i="2"/>
  <c r="L4" i="2"/>
  <c r="K5" i="2"/>
  <c r="K6" i="2"/>
  <c r="K21" i="2" s="1"/>
  <c r="K9" i="2"/>
  <c r="K10" i="2"/>
  <c r="K11" i="2"/>
  <c r="K14" i="2"/>
  <c r="K19" i="2" s="1"/>
  <c r="K15" i="2"/>
  <c r="K20" i="2" s="1"/>
  <c r="K16" i="2"/>
  <c r="K4" i="2"/>
  <c r="I39" i="2" l="1"/>
  <c r="J39" i="2"/>
  <c r="J9" i="2"/>
  <c r="J12" i="2" s="1"/>
  <c r="I12" i="2"/>
  <c r="I48" i="2"/>
  <c r="I49" i="2" s="1"/>
  <c r="J46" i="2"/>
  <c r="J34" i="2"/>
  <c r="I51" i="2"/>
  <c r="F54" i="2" s="1"/>
  <c r="G54" i="2" s="1"/>
  <c r="J48" i="2"/>
  <c r="J4" i="2"/>
  <c r="I19" i="2"/>
  <c r="I22" i="2" s="1"/>
  <c r="I7" i="2"/>
  <c r="M34" i="2"/>
  <c r="M46" i="2"/>
  <c r="M49" i="2" s="1"/>
  <c r="H88" i="1"/>
  <c r="I88" i="1"/>
  <c r="J88" i="1"/>
  <c r="K88" i="1"/>
  <c r="L88" i="1"/>
  <c r="M88" i="1"/>
  <c r="S88" i="1"/>
  <c r="T88" i="1"/>
  <c r="U88" i="1"/>
  <c r="Y88" i="1"/>
  <c r="AB88" i="1"/>
  <c r="AC88" i="1"/>
  <c r="G88" i="1"/>
  <c r="U87" i="1"/>
  <c r="U86" i="1"/>
  <c r="V87" i="1"/>
  <c r="V88" i="1" s="1"/>
  <c r="V86" i="1"/>
  <c r="W87" i="1"/>
  <c r="W88" i="1" s="1"/>
  <c r="W86" i="1"/>
  <c r="X87" i="1"/>
  <c r="X88" i="1" s="1"/>
  <c r="X86" i="1"/>
  <c r="Y87" i="1"/>
  <c r="Y86" i="1"/>
  <c r="Z87" i="1"/>
  <c r="Z86" i="1"/>
  <c r="Z88" i="1" s="1"/>
  <c r="AA87" i="1"/>
  <c r="AA88" i="1" s="1"/>
  <c r="AA86" i="1"/>
  <c r="AB87" i="1"/>
  <c r="AB86" i="1"/>
  <c r="T87" i="1"/>
  <c r="T86" i="1"/>
  <c r="S87" i="1"/>
  <c r="S86" i="1"/>
  <c r="R87" i="1"/>
  <c r="R88" i="1" s="1"/>
  <c r="R86" i="1"/>
  <c r="Q87" i="1"/>
  <c r="Q88" i="1" s="1"/>
  <c r="Q86" i="1"/>
  <c r="P87" i="1"/>
  <c r="P86" i="1"/>
  <c r="P88" i="1" s="1"/>
  <c r="O87" i="1"/>
  <c r="AE87" i="1" s="1"/>
  <c r="O86" i="1"/>
  <c r="AF86" i="1" s="1"/>
  <c r="AF87" i="1" l="1"/>
  <c r="AE86" i="1"/>
  <c r="J19" i="2"/>
  <c r="J22" i="2" s="1"/>
  <c r="J7" i="2"/>
  <c r="O88" i="1"/>
  <c r="AE88" i="1" s="1"/>
  <c r="L48" i="2"/>
  <c r="AF88" i="1"/>
  <c r="I52" i="2"/>
  <c r="F55" i="2" s="1"/>
  <c r="G55" i="2" s="1"/>
  <c r="J49" i="2"/>
  <c r="L49" i="2" s="1"/>
  <c r="L46" i="2"/>
  <c r="E24" i="1"/>
  <c r="E23" i="1"/>
  <c r="E22" i="1"/>
  <c r="E21" i="1"/>
  <c r="E19" i="1"/>
  <c r="E18" i="1"/>
  <c r="E17" i="1"/>
  <c r="E15" i="1"/>
  <c r="E14" i="1"/>
  <c r="BF84" i="2" l="1"/>
  <c r="AX91" i="2" l="1"/>
  <c r="BD91" i="2"/>
  <c r="BG84" i="2"/>
  <c r="BH84" i="2" s="1"/>
  <c r="BH90" i="2" s="1"/>
  <c r="AR91" i="2"/>
  <c r="T59" i="4"/>
  <c r="K68" i="4"/>
  <c r="BQ84" i="2" l="1"/>
  <c r="N71" i="5"/>
  <c r="O71" i="5"/>
  <c r="N69" i="5"/>
  <c r="O69" i="5"/>
  <c r="N74" i="5"/>
  <c r="O74" i="5"/>
  <c r="P74" i="5" s="1"/>
  <c r="O73" i="5"/>
  <c r="N73" i="5"/>
  <c r="N70" i="5"/>
  <c r="O70" i="5"/>
  <c r="N72" i="5"/>
  <c r="O72" i="5"/>
  <c r="P72" i="5" l="1"/>
  <c r="P70" i="5"/>
  <c r="P71" i="5"/>
  <c r="P73" i="5"/>
  <c r="P69" i="5"/>
</calcChain>
</file>

<file path=xl/sharedStrings.xml><?xml version="1.0" encoding="utf-8"?>
<sst xmlns="http://schemas.openxmlformats.org/spreadsheetml/2006/main" count="1873" uniqueCount="721">
  <si>
    <t>Arresø tal</t>
  </si>
  <si>
    <t>Secchi</t>
  </si>
  <si>
    <t>1956-57</t>
  </si>
  <si>
    <t>Middel</t>
  </si>
  <si>
    <t>min</t>
  </si>
  <si>
    <t>max</t>
  </si>
  <si>
    <t>n</t>
  </si>
  <si>
    <t>cm</t>
  </si>
  <si>
    <t>sommer</t>
  </si>
  <si>
    <t>pH</t>
  </si>
  <si>
    <t>Vandplantearte</t>
  </si>
  <si>
    <t>P perfol.</t>
  </si>
  <si>
    <t>P.pect</t>
  </si>
  <si>
    <t>P lucens</t>
  </si>
  <si>
    <t>P gramin</t>
  </si>
  <si>
    <t>P zizzii</t>
  </si>
  <si>
    <t>Myr spic</t>
  </si>
  <si>
    <t>Hel, avivul</t>
  </si>
  <si>
    <t>Chara aspera</t>
  </si>
  <si>
    <t>Chara contraria</t>
  </si>
  <si>
    <t>1973-76</t>
  </si>
  <si>
    <t>x</t>
  </si>
  <si>
    <t>Siden?</t>
  </si>
  <si>
    <t>jan</t>
  </si>
  <si>
    <t>feb</t>
  </si>
  <si>
    <t>mar</t>
  </si>
  <si>
    <t>jun</t>
  </si>
  <si>
    <t>jul</t>
  </si>
  <si>
    <t>aug</t>
  </si>
  <si>
    <t>Måneds</t>
  </si>
  <si>
    <t>sep</t>
  </si>
  <si>
    <t>okt</t>
  </si>
  <si>
    <t>Calcium</t>
  </si>
  <si>
    <t>mM</t>
  </si>
  <si>
    <t>april</t>
  </si>
  <si>
    <t>maj</t>
  </si>
  <si>
    <t>nov</t>
  </si>
  <si>
    <t>dec</t>
  </si>
  <si>
    <t>uorg kulstof</t>
  </si>
  <si>
    <t>måned</t>
  </si>
  <si>
    <t>marts</t>
  </si>
  <si>
    <t>juni</t>
  </si>
  <si>
    <t>juli</t>
  </si>
  <si>
    <t>Ortho-P</t>
  </si>
  <si>
    <t>ug/l</t>
  </si>
  <si>
    <t>Ammonium + Nitrat</t>
  </si>
  <si>
    <t>ug/L</t>
  </si>
  <si>
    <t>Solbjerg Engsø  A: 33 ha, Strødam 18 ha</t>
  </si>
  <si>
    <t>Sum af rensningsanlæ</t>
  </si>
  <si>
    <t>æg</t>
  </si>
  <si>
    <t>TP</t>
  </si>
  <si>
    <t>kg/år</t>
  </si>
  <si>
    <t>TN</t>
  </si>
  <si>
    <t>Regnvandsbetinget tab</t>
  </si>
  <si>
    <t>Diffust bidrag</t>
  </si>
  <si>
    <t xml:space="preserve">TP </t>
  </si>
  <si>
    <t>STRØDAM tilført</t>
  </si>
  <si>
    <t>Vandbalance</t>
  </si>
  <si>
    <t>Til</t>
  </si>
  <si>
    <t>Fra</t>
  </si>
  <si>
    <t>1000 m3/y</t>
  </si>
  <si>
    <t>Målt tilførsel</t>
  </si>
  <si>
    <t>Målt fraførsel</t>
  </si>
  <si>
    <t>Retention</t>
  </si>
  <si>
    <t>Opholdstid</t>
  </si>
  <si>
    <t>dage</t>
  </si>
  <si>
    <t xml:space="preserve">Retention  </t>
  </si>
  <si>
    <t>% af tilførs</t>
  </si>
  <si>
    <t>Strødam retension</t>
  </si>
  <si>
    <t xml:space="preserve">Strødam retention </t>
  </si>
  <si>
    <t>Tilført</t>
  </si>
  <si>
    <t>Solbjerg Engsø</t>
  </si>
  <si>
    <t>g/m2/år</t>
  </si>
  <si>
    <t>Strødam</t>
  </si>
  <si>
    <t>min 2179</t>
  </si>
  <si>
    <t>%</t>
  </si>
  <si>
    <t xml:space="preserve">Tilført </t>
  </si>
  <si>
    <t>Alder</t>
  </si>
  <si>
    <t>g TP/m2/år</t>
  </si>
  <si>
    <t>år</t>
  </si>
  <si>
    <t>Solbjerg ------------------------------------------------------</t>
  </si>
  <si>
    <t>Arresø</t>
  </si>
  <si>
    <t>g TN/m2/ÅR</t>
  </si>
  <si>
    <t>g TN/m2/år</t>
  </si>
  <si>
    <t>Procent retention</t>
  </si>
  <si>
    <t>Gennemsnit</t>
  </si>
  <si>
    <t>SD</t>
  </si>
  <si>
    <t>y</t>
  </si>
  <si>
    <t>Spildevand</t>
  </si>
  <si>
    <t>Tons P/år</t>
  </si>
  <si>
    <t xml:space="preserve">Input </t>
  </si>
  <si>
    <t>Tons N/år</t>
  </si>
  <si>
    <t>Year</t>
  </si>
  <si>
    <t>Arresø sedimenter 1988 - tre stationer kun medtaget 0-10 cm</t>
  </si>
  <si>
    <t>St 1</t>
  </si>
  <si>
    <t>0-2 cm</t>
  </si>
  <si>
    <t>2 til 5 cm</t>
  </si>
  <si>
    <t>5 til 10 cm</t>
  </si>
  <si>
    <t>DW %</t>
  </si>
  <si>
    <t>gløde %</t>
  </si>
  <si>
    <t>mg/g DW</t>
  </si>
  <si>
    <t>mg/gdw</t>
  </si>
  <si>
    <t>mg/cm3</t>
  </si>
  <si>
    <t>mg/cm2</t>
  </si>
  <si>
    <t>0-10 cm</t>
  </si>
  <si>
    <t>st 2</t>
  </si>
  <si>
    <t>st 3</t>
  </si>
  <si>
    <t>Snit 1-3</t>
  </si>
  <si>
    <t>C/N</t>
  </si>
  <si>
    <t>N/P</t>
  </si>
  <si>
    <t>C/P</t>
  </si>
  <si>
    <t xml:space="preserve">TN </t>
  </si>
  <si>
    <t>g/m2</t>
  </si>
  <si>
    <t>tons</t>
  </si>
  <si>
    <t>Arresø sedimenter</t>
  </si>
  <si>
    <t>hele søen</t>
  </si>
  <si>
    <t>40 km2</t>
  </si>
  <si>
    <t>Søen TP</t>
  </si>
  <si>
    <t>tons/søen</t>
  </si>
  <si>
    <t>DW</t>
  </si>
  <si>
    <t>Glødetab</t>
  </si>
  <si>
    <t>Gltab</t>
  </si>
  <si>
    <t>Ændring</t>
  </si>
  <si>
    <t>1988-02</t>
  </si>
  <si>
    <t>0-10cm</t>
  </si>
  <si>
    <t>TABT</t>
  </si>
  <si>
    <t>per år</t>
  </si>
  <si>
    <t>1976; Ebbe Marinus Olesen</t>
  </si>
  <si>
    <t>Søen TN</t>
  </si>
  <si>
    <t xml:space="preserve">79,2 ton </t>
  </si>
  <si>
    <t>697 ton</t>
  </si>
  <si>
    <t>340 ton</t>
  </si>
  <si>
    <t>5248 ton</t>
  </si>
  <si>
    <t>Udvikling</t>
  </si>
  <si>
    <t>79,2 ton P</t>
  </si>
  <si>
    <t>Mean</t>
  </si>
  <si>
    <t>Andersen</t>
  </si>
  <si>
    <t>Ammonium+nitrat</t>
  </si>
  <si>
    <t>Organic P</t>
  </si>
  <si>
    <t>Organic N</t>
  </si>
  <si>
    <t>Sommer</t>
  </si>
  <si>
    <t>mg P/L</t>
  </si>
  <si>
    <t>Mg N/L</t>
  </si>
  <si>
    <t>mg N/L</t>
  </si>
  <si>
    <t>CHl</t>
  </si>
  <si>
    <t>Sommerværdier</t>
  </si>
  <si>
    <t>Org N</t>
  </si>
  <si>
    <t>Org P</t>
  </si>
  <si>
    <t>gennemsnit</t>
  </si>
  <si>
    <t>snit</t>
  </si>
  <si>
    <t>maj-sep</t>
  </si>
  <si>
    <t>mg/L</t>
  </si>
  <si>
    <t>sommer-</t>
  </si>
  <si>
    <t>Total-P</t>
  </si>
  <si>
    <t>Inorg. N</t>
  </si>
  <si>
    <t>Total N</t>
  </si>
  <si>
    <t>Chloroph</t>
  </si>
  <si>
    <t>Summer means</t>
  </si>
  <si>
    <t>30 cm</t>
  </si>
  <si>
    <t>N=1</t>
  </si>
  <si>
    <t>56-57</t>
  </si>
  <si>
    <t>(15-35)</t>
  </si>
  <si>
    <t>N=3</t>
  </si>
  <si>
    <t>(15-38)</t>
  </si>
  <si>
    <t>N=10</t>
  </si>
  <si>
    <t>Hillerød</t>
  </si>
  <si>
    <t>2022-2023</t>
  </si>
  <si>
    <t>Arresøkilder korrigeret for flytning af spilde</t>
  </si>
  <si>
    <t>devand</t>
  </si>
  <si>
    <t>2020ies</t>
  </si>
  <si>
    <t>SNIT</t>
  </si>
  <si>
    <t>Procent tørstof af vådvægt</t>
  </si>
  <si>
    <t>2-5 cm</t>
  </si>
  <si>
    <t>5-10 cm</t>
  </si>
  <si>
    <t>Trocent organisk stof af tørvægten</t>
  </si>
  <si>
    <t>(glødetab) af tørvægten</t>
  </si>
  <si>
    <t>P-indhold mg P/g tørstof</t>
  </si>
  <si>
    <t>C/P forholdet</t>
  </si>
  <si>
    <t>P promille af organisk C som vægtandele</t>
  </si>
  <si>
    <t>P-indhold som mg/cm3</t>
  </si>
  <si>
    <t>P-indhold som mg/cm2</t>
  </si>
  <si>
    <t>P-indhold per m2</t>
  </si>
  <si>
    <t>i g/m2</t>
  </si>
  <si>
    <t>Hele søen</t>
  </si>
  <si>
    <t>i tons i søen</t>
  </si>
  <si>
    <t>Relevant søareal (33 km2/31,6 km2 her benyttes 31,6 km2)</t>
  </si>
  <si>
    <t>Tab/tilf/år</t>
  </si>
  <si>
    <t>1988-2002</t>
  </si>
  <si>
    <t>tonsP/år</t>
  </si>
  <si>
    <t>2002-2009</t>
  </si>
  <si>
    <t>2009-2014</t>
  </si>
  <si>
    <t>P</t>
  </si>
  <si>
    <t>Organisk indhold mg org C/cm3</t>
  </si>
  <si>
    <t>0-2</t>
  </si>
  <si>
    <t>2 til 5</t>
  </si>
  <si>
    <t>org/cm3</t>
  </si>
  <si>
    <t>Organisk stof tons per sø</t>
  </si>
  <si>
    <t>C/N snit</t>
  </si>
  <si>
    <t>Organisk N tonds per sø</t>
  </si>
  <si>
    <t>Organisk kulstof tons per sø</t>
  </si>
  <si>
    <t>Tons P i hele søen</t>
  </si>
  <si>
    <t>Mobilt</t>
  </si>
  <si>
    <t>Årlig æn-</t>
  </si>
  <si>
    <t>dring mel</t>
  </si>
  <si>
    <t>lem dato</t>
  </si>
  <si>
    <t>0-5 cm</t>
  </si>
  <si>
    <t>Sediment depth (cm)</t>
  </si>
  <si>
    <t>(% of wet weight)</t>
  </si>
  <si>
    <t>Organic dry weight</t>
  </si>
  <si>
    <t>(% of dry weight)</t>
  </si>
  <si>
    <t>Phosphorus concentration</t>
  </si>
  <si>
    <t>Dry weight (DW)</t>
  </si>
  <si>
    <t>(mg P/g DW)</t>
  </si>
  <si>
    <t>(mg P/g organic C)</t>
  </si>
  <si>
    <t>Table x. Contents with sediment depth i three intervals in five years of dry weight, organic dry weight and phosphorus.</t>
  </si>
  <si>
    <t>Mean values of 3-4 measurements.</t>
  </si>
  <si>
    <t>(mg P/cm3 sediment)</t>
  </si>
  <si>
    <t>Benyt 3 betydende cifre</t>
  </si>
  <si>
    <t>9,4-10,0</t>
  </si>
  <si>
    <t>7,8-9,2</t>
  </si>
  <si>
    <t>78-86</t>
  </si>
  <si>
    <t>8,9-9,5</t>
  </si>
  <si>
    <t>12,5-14,8</t>
  </si>
  <si>
    <t>113-133</t>
  </si>
  <si>
    <t>30 year</t>
  </si>
  <si>
    <t>6,3 tons/y</t>
  </si>
  <si>
    <t>Spildevandstilførsel i oplandet</t>
  </si>
  <si>
    <t>(Spildevandsanlæg+spredt bebyggelse+Regnvandsbetinget</t>
  </si>
  <si>
    <t>TP-spildev</t>
  </si>
  <si>
    <t>1985-86</t>
  </si>
  <si>
    <t>1978/79</t>
  </si>
  <si>
    <t>Total</t>
  </si>
  <si>
    <t>TN-spildev</t>
  </si>
  <si>
    <t>Hillerød 26.000 p.e.</t>
  </si>
  <si>
    <t>336/307</t>
  </si>
  <si>
    <t>75/84,5</t>
  </si>
  <si>
    <t>20-23</t>
  </si>
  <si>
    <t>Procent</t>
  </si>
  <si>
    <t>last four</t>
  </si>
  <si>
    <t>TN-total</t>
  </si>
  <si>
    <t>gadevang</t>
  </si>
  <si>
    <t>years of</t>
  </si>
  <si>
    <t>of 1970ies</t>
  </si>
  <si>
    <t>1985-1987</t>
  </si>
  <si>
    <t>% af 1985</t>
  </si>
  <si>
    <t>% i ft</t>
  </si>
  <si>
    <t>Overløb</t>
  </si>
  <si>
    <t>Helsinge</t>
  </si>
  <si>
    <t>2020-2023</t>
  </si>
  <si>
    <t>med spil</t>
  </si>
  <si>
    <t>0.,76</t>
  </si>
  <si>
    <t>Til Arresø</t>
  </si>
  <si>
    <t>TP tilførst</t>
  </si>
  <si>
    <t>2018-2021</t>
  </si>
  <si>
    <t>Overløb i Hillerød-Helsinge</t>
  </si>
  <si>
    <t>plus Gadevang</t>
  </si>
  <si>
    <t>Tons TP/år</t>
  </si>
  <si>
    <t>TP i Arresø Se Flemmings Data</t>
  </si>
  <si>
    <t>8,8-15,45</t>
  </si>
  <si>
    <t>0-10</t>
  </si>
  <si>
    <t>ton P/år/sø</t>
  </si>
  <si>
    <t>Dybder</t>
  </si>
  <si>
    <t>P in permille</t>
  </si>
  <si>
    <t xml:space="preserve">Fortynding </t>
  </si>
  <si>
    <t>opholdstid 2 år</t>
  </si>
  <si>
    <t xml:space="preserve">År </t>
  </si>
  <si>
    <t>Input i år 2 begynder med</t>
  </si>
  <si>
    <t>10 og slutter med 1.</t>
  </si>
  <si>
    <t>Gennemsnittet er regnet med</t>
  </si>
  <si>
    <t>9,5.</t>
  </si>
  <si>
    <t>I virkeligheden går fortyndingen lidt langsommere.</t>
  </si>
  <si>
    <t>50 tons P/sø</t>
  </si>
  <si>
    <t>i 0-2 cm</t>
  </si>
  <si>
    <t>150 tons i 0-5 cm</t>
  </si>
  <si>
    <t>Ved 0,1 mg/L</t>
  </si>
  <si>
    <t>Ved 5 tons tilledt svarer det i princippet til 10 års tilførsel</t>
  </si>
  <si>
    <t>Eller ved 35% som moblt blot til 3,5 år.</t>
  </si>
  <si>
    <t>20-30</t>
  </si>
  <si>
    <t>30-38</t>
  </si>
  <si>
    <t>% DW af WW</t>
  </si>
  <si>
    <t>% glødetab af DW</t>
  </si>
  <si>
    <t>P-Ca</t>
  </si>
  <si>
    <t>P-Fe</t>
  </si>
  <si>
    <t>P-ad</t>
  </si>
  <si>
    <t>P-Al</t>
  </si>
  <si>
    <t>10 to 20</t>
  </si>
  <si>
    <t>P-org</t>
  </si>
  <si>
    <t>P-sum</t>
  </si>
  <si>
    <t>AVG</t>
  </si>
  <si>
    <t>Korrekt</t>
  </si>
  <si>
    <t>30-40</t>
  </si>
  <si>
    <t>*</t>
  </si>
  <si>
    <t>GL</t>
  </si>
  <si>
    <t>TP mg/cm3</t>
  </si>
  <si>
    <t>0-5</t>
  </si>
  <si>
    <t>0-20</t>
  </si>
  <si>
    <t>0-30</t>
  </si>
  <si>
    <t>10 til 20</t>
  </si>
  <si>
    <t>5 til 10</t>
  </si>
  <si>
    <t>mgP/cm3</t>
  </si>
  <si>
    <t>tons/sø</t>
  </si>
  <si>
    <t>0-40 cm</t>
  </si>
  <si>
    <t>31,6 km2</t>
  </si>
  <si>
    <t>Psum/TP</t>
  </si>
  <si>
    <t>Jern og kalcium</t>
  </si>
  <si>
    <t>0-2-</t>
  </si>
  <si>
    <t>2 to 5</t>
  </si>
  <si>
    <t>5 to 10</t>
  </si>
  <si>
    <t>JERN g/kg tørstof</t>
  </si>
  <si>
    <t>Kalcium g/kg tørstof</t>
  </si>
  <si>
    <t>Ca</t>
  </si>
  <si>
    <t>Fe</t>
  </si>
  <si>
    <t>Middeltal</t>
  </si>
  <si>
    <t>Fe/TP</t>
  </si>
  <si>
    <t>Middel TP</t>
  </si>
  <si>
    <t>GRIB</t>
  </si>
  <si>
    <t>Org</t>
  </si>
  <si>
    <t>Halsnæs</t>
  </si>
  <si>
    <t>P mg/DW</t>
  </si>
  <si>
    <t>Org C/TP</t>
  </si>
  <si>
    <t>Dybdevægtet</t>
  </si>
  <si>
    <t>GW</t>
  </si>
  <si>
    <t>sted 1</t>
  </si>
  <si>
    <t>Sted 1</t>
  </si>
  <si>
    <t>sted 2</t>
  </si>
  <si>
    <t>Vægtet</t>
  </si>
  <si>
    <t>MIDDEL</t>
  </si>
  <si>
    <t>Org %</t>
  </si>
  <si>
    <t>Org-mean</t>
  </si>
  <si>
    <t>2 to 4</t>
  </si>
  <si>
    <t>4 to 6</t>
  </si>
  <si>
    <t>6 to 8</t>
  </si>
  <si>
    <t>8 to 10</t>
  </si>
  <si>
    <t>10 to 12</t>
  </si>
  <si>
    <t>12 to 14</t>
  </si>
  <si>
    <t>Middel GW</t>
  </si>
  <si>
    <t>10 to 40</t>
  </si>
  <si>
    <t>0-40</t>
  </si>
  <si>
    <t>ORGANISK STOF</t>
  </si>
  <si>
    <t>DW mean</t>
  </si>
  <si>
    <t>mg P/cm3</t>
  </si>
  <si>
    <t>mg P/cm2</t>
  </si>
  <si>
    <t>0-20 cm</t>
  </si>
  <si>
    <t>Helse søer</t>
  </si>
  <si>
    <t>kg i søen</t>
  </si>
  <si>
    <t>Tons P mod dybden</t>
  </si>
  <si>
    <t>mg TP/cm3</t>
  </si>
  <si>
    <t>Mid-DW</t>
  </si>
  <si>
    <t>tons sø</t>
  </si>
  <si>
    <t>20-40</t>
  </si>
  <si>
    <t>Sum 0-10</t>
  </si>
  <si>
    <t>Fe-Ad</t>
  </si>
  <si>
    <t>Psum</t>
  </si>
  <si>
    <t>P tilknytning</t>
  </si>
  <si>
    <t>Speciale</t>
  </si>
  <si>
    <t>Beregnet under antagelse af specifik massefylde på 1,1 g/cm3 i alle dybder</t>
  </si>
  <si>
    <t>Umiddelbart ophvirvling ced storm 0-2 cm; men måske påvirkes profiled 10-15 cm ned.</t>
  </si>
  <si>
    <t>Tyder på faldende P-andelse fra 1988 til 2002-2008</t>
  </si>
  <si>
    <t>og derefter stigende mod 2018.</t>
  </si>
  <si>
    <t>Hmm</t>
  </si>
  <si>
    <t>De øver 2 cm svarer til omkring 0,5 mg/L i vandsøjlen</t>
  </si>
  <si>
    <t>SD:27</t>
  </si>
  <si>
    <t>P som promille af organisk set beregnet fra glødetab*0,44</t>
  </si>
  <si>
    <t>0-2 cm og 2-5 cm plus 2 (3) forskellige områder behandlet samlet</t>
  </si>
  <si>
    <t>TP koncentrationen i mg/g DW i 0-2 og 2-5 på 2 eller 3 områder</t>
  </si>
  <si>
    <t>Reduktion</t>
  </si>
  <si>
    <t>I %</t>
  </si>
  <si>
    <t>Reduktion:=</t>
  </si>
  <si>
    <t>% reduktion</t>
  </si>
  <si>
    <t>0,75% per år</t>
  </si>
  <si>
    <t>1,07 reduktion per år</t>
  </si>
  <si>
    <t xml:space="preserve">Plottes i </t>
  </si>
  <si>
    <t>7,96 (0,49)</t>
  </si>
  <si>
    <t>7,67 (0,43)</t>
  </si>
  <si>
    <t>7,25 (1,54)</t>
  </si>
  <si>
    <t>8,06 (0,23)</t>
  </si>
  <si>
    <t>6,81 ((0,51)</t>
  </si>
  <si>
    <t>8.18 (0,06)</t>
  </si>
  <si>
    <t>98,0 (6,5)</t>
  </si>
  <si>
    <t>94,5 (5,7)</t>
  </si>
  <si>
    <t>94,3 (29,8)</t>
  </si>
  <si>
    <t>90,6 (4,6)</t>
  </si>
  <si>
    <t>76,3 (14,1)</t>
  </si>
  <si>
    <t>105,5(18,8)</t>
  </si>
  <si>
    <t>12,1 (0,22)</t>
  </si>
  <si>
    <t>12,3 (0,79)</t>
  </si>
  <si>
    <t>12,9 (1,8)</t>
  </si>
  <si>
    <t>11,3 (0,77)</t>
  </si>
  <si>
    <t>11,4 (1,1)</t>
  </si>
  <si>
    <t>13,1 (3,6)</t>
  </si>
  <si>
    <t>10,0 (0,65)</t>
  </si>
  <si>
    <t>9,64 (0.41)</t>
  </si>
  <si>
    <t>9,43(1,05)</t>
  </si>
  <si>
    <t>7,83 (0,62)</t>
  </si>
  <si>
    <t>8,14 (0,48)</t>
  </si>
  <si>
    <t>9,18 (0,95)</t>
  </si>
  <si>
    <t>78,3 (1,59)</t>
  </si>
  <si>
    <t>86,2 (4,8)</t>
  </si>
  <si>
    <t>78,4 (1,52)</t>
  </si>
  <si>
    <t>10,5 (1,2)</t>
  </si>
  <si>
    <t>12,1 (1,4)</t>
  </si>
  <si>
    <t>16,0 (1,9)</t>
  </si>
  <si>
    <t>93 (6)</t>
  </si>
  <si>
    <t>107 (8)</t>
  </si>
  <si>
    <t>138 (19)</t>
  </si>
  <si>
    <t>Organisk stof (%)</t>
  </si>
  <si>
    <t>test forskelle</t>
  </si>
  <si>
    <t>Afbild Mean (evt SD)</t>
  </si>
  <si>
    <t>angiv med bogstaver</t>
  </si>
  <si>
    <t>hvilke der er signifikant forskellige</t>
  </si>
  <si>
    <t xml:space="preserve">1993 has been omitted </t>
  </si>
  <si>
    <t>1993 omitted</t>
  </si>
  <si>
    <t>SD/Mean</t>
  </si>
  <si>
    <t>SD/mean</t>
  </si>
  <si>
    <t>mean</t>
  </si>
  <si>
    <t>99,3 (24,2)</t>
  </si>
  <si>
    <t>88,6 (1,8)</t>
  </si>
  <si>
    <t>83,9 (14,3)</t>
  </si>
  <si>
    <t>109,5(34,4)</t>
  </si>
  <si>
    <t>108(32)</t>
  </si>
  <si>
    <t>118,7 (2,5)</t>
  </si>
  <si>
    <t>6,8-10</t>
  </si>
  <si>
    <t>7,8-16,0</t>
  </si>
  <si>
    <t>78-138</t>
  </si>
  <si>
    <t>6,8-8,2</t>
  </si>
  <si>
    <t>11,3-13,1</t>
  </si>
  <si>
    <t>76-105</t>
  </si>
  <si>
    <t>84-119</t>
  </si>
  <si>
    <t>Drop</t>
  </si>
  <si>
    <t>8,1 (0,7)</t>
  </si>
  <si>
    <t>7,4(0,03)</t>
  </si>
  <si>
    <t>7,5 (0,06)</t>
  </si>
  <si>
    <t>7,4 (0,2)</t>
  </si>
  <si>
    <t>7,7 (0,2)</t>
  </si>
  <si>
    <t>7,9 (0,3)</t>
  </si>
  <si>
    <t>83 (24)</t>
  </si>
  <si>
    <t>98 (21)</t>
  </si>
  <si>
    <t>141 (8)</t>
  </si>
  <si>
    <t>142 (6)</t>
  </si>
  <si>
    <t>123 (5)</t>
  </si>
  <si>
    <t>141 (38)</t>
  </si>
  <si>
    <t>mean SD</t>
  </si>
  <si>
    <t>7,6 (0,4)</t>
  </si>
  <si>
    <t>7,3 (0,3)</t>
  </si>
  <si>
    <t>7,2 (0,3)</t>
  </si>
  <si>
    <t>6,3 (0,5)</t>
  </si>
  <si>
    <t>8,0 (0,2)</t>
  </si>
  <si>
    <t xml:space="preserve">Table S3. </t>
  </si>
  <si>
    <t>Table S4.</t>
  </si>
  <si>
    <t>P-sum1</t>
  </si>
  <si>
    <t>Psum2</t>
  </si>
  <si>
    <t>P-fe+1d</t>
  </si>
  <si>
    <t>P-fe+ad</t>
  </si>
  <si>
    <t>P-Fe+Ad</t>
  </si>
  <si>
    <t>Procent af summen</t>
  </si>
  <si>
    <t>% organisk</t>
  </si>
  <si>
    <t>andel P-Ca</t>
  </si>
  <si>
    <t>andel-Al</t>
  </si>
  <si>
    <t>Fe-indhold</t>
  </si>
  <si>
    <t>mg Fe/g DW</t>
  </si>
  <si>
    <t>13,7 (2,7)</t>
  </si>
  <si>
    <t>13,3 (1,2)</t>
  </si>
  <si>
    <t>14,4 (1,1)</t>
  </si>
  <si>
    <t>15,8 (3,2)</t>
  </si>
  <si>
    <t>13,2 (3,1)</t>
  </si>
  <si>
    <t>13,8 (2,9)</t>
  </si>
  <si>
    <t>8,8 (0,2)</t>
  </si>
  <si>
    <t>8,9 (0,2)</t>
  </si>
  <si>
    <t>8,6 (1,4)</t>
  </si>
  <si>
    <t>10,1 (1,2)</t>
  </si>
  <si>
    <t>9,5 (2,6)</t>
  </si>
  <si>
    <t>11,6 (0,7)</t>
  </si>
  <si>
    <t>10,7 (0,6)</t>
  </si>
  <si>
    <t>9,8 (0,4)</t>
  </si>
  <si>
    <t>11 (1)</t>
  </si>
  <si>
    <t>11,1 (0,6)</t>
  </si>
  <si>
    <t>15,7 (0,3)</t>
  </si>
  <si>
    <t>14 (3,6)</t>
  </si>
  <si>
    <t>8,8 (1,1)</t>
  </si>
  <si>
    <t>11,9 (1,8)</t>
  </si>
  <si>
    <t>13,5 (3,5)</t>
  </si>
  <si>
    <t>11,5 (3,4)</t>
  </si>
  <si>
    <t>17,7 (0,6)</t>
  </si>
  <si>
    <t>Kalcium (mg Ca/g DW)</t>
  </si>
  <si>
    <t>152 (11)</t>
  </si>
  <si>
    <t>157 (21)</t>
  </si>
  <si>
    <t>156 (23)</t>
  </si>
  <si>
    <t>127 (6)</t>
  </si>
  <si>
    <t>177 (47)</t>
  </si>
  <si>
    <t>136 (45)</t>
  </si>
  <si>
    <t>113 (47)</t>
  </si>
  <si>
    <t>132 (51)</t>
  </si>
  <si>
    <t>111 (56)</t>
  </si>
  <si>
    <t>125 (64)</t>
  </si>
  <si>
    <t>Kalcium karbonats andel af tørvægten</t>
  </si>
  <si>
    <t xml:space="preserve">andel af tøtvægten </t>
  </si>
  <si>
    <t>Prøver indsamlet i november-december</t>
  </si>
  <si>
    <t>P-Fe/Psum</t>
  </si>
  <si>
    <t>i procent</t>
  </si>
  <si>
    <t>P-tilknytning 1988</t>
  </si>
  <si>
    <t>6,8-13,7</t>
  </si>
  <si>
    <t>9,8-15,8</t>
  </si>
  <si>
    <t>7,1-13,3</t>
  </si>
  <si>
    <t>6,9-14,4</t>
  </si>
  <si>
    <t>Range</t>
  </si>
  <si>
    <t>(9,5-15,7)</t>
  </si>
  <si>
    <t>11,6-17,7</t>
  </si>
  <si>
    <t>4,0-10,87</t>
  </si>
  <si>
    <t>3,7-17,1</t>
  </si>
  <si>
    <t>3,9-21,8</t>
  </si>
  <si>
    <t>9,6-24,7</t>
  </si>
  <si>
    <t>10,3-22,8</t>
  </si>
  <si>
    <t>15,0-25,6</t>
  </si>
  <si>
    <t>Fe-indhold (mg/DW)</t>
  </si>
  <si>
    <t>152-177</t>
  </si>
  <si>
    <t>136-157</t>
  </si>
  <si>
    <t>113-150</t>
  </si>
  <si>
    <t>132-180</t>
  </si>
  <si>
    <t>111-156</t>
  </si>
  <si>
    <t>125-127</t>
  </si>
  <si>
    <t>Kalcium (mg/g DW)</t>
  </si>
  <si>
    <t>P som anele af organisk carbon</t>
  </si>
  <si>
    <t>0-2 og 2-5 cm</t>
  </si>
  <si>
    <t>Plottes</t>
  </si>
  <si>
    <t xml:space="preserve">Afbild figur med mean og SD for TP konc, organisk stof og </t>
  </si>
  <si>
    <t>of og P som promille af organisk C på en Figur</t>
  </si>
  <si>
    <t>Suppl</t>
  </si>
  <si>
    <t>Tabel</t>
  </si>
  <si>
    <t>1988-2018</t>
  </si>
  <si>
    <t>% Organisk stof af tørvægten</t>
  </si>
  <si>
    <t>mg organisk stof/g DW</t>
  </si>
  <si>
    <t>2 to 5 cm</t>
  </si>
  <si>
    <t>5 to 10 cm</t>
  </si>
  <si>
    <t>10-20 cm</t>
  </si>
  <si>
    <t>20-30 cm</t>
  </si>
  <si>
    <t>30-40 cm</t>
  </si>
  <si>
    <t>Sediment</t>
  </si>
  <si>
    <t>depth</t>
  </si>
  <si>
    <t>Figur 8</t>
  </si>
  <si>
    <t>Figur 9</t>
  </si>
  <si>
    <t xml:space="preserve">15 tons P/m2 i 30 år </t>
  </si>
  <si>
    <t>0,5 tons P/år</t>
  </si>
  <si>
    <t>Tot til</t>
  </si>
  <si>
    <t>Søen</t>
  </si>
  <si>
    <t>1973-79</t>
  </si>
  <si>
    <t>Tons N</t>
  </si>
  <si>
    <t>1985-87</t>
  </si>
  <si>
    <t>Input to Lake Arresø</t>
  </si>
  <si>
    <t>% in 2018-21 of 85-87</t>
  </si>
  <si>
    <t>ton/y</t>
  </si>
  <si>
    <t>Output from water treatment</t>
  </si>
  <si>
    <t>plants and by stormflow</t>
  </si>
  <si>
    <t>% domestic loss of lake inlet</t>
  </si>
  <si>
    <t>% loss in 2018-2021 of 1985-87</t>
  </si>
  <si>
    <t>Sources and proportions</t>
  </si>
  <si>
    <t>Table  . Mean annual input to Lake Arresø and outlet from sewage treatment plants in the catchment in 1985-1987 and 2028-2021.</t>
  </si>
  <si>
    <t xml:space="preserve">Nutrient output during stormflow events in the two main cities are included in the outlet from sewage treatment plants in 2018-2021. </t>
  </si>
  <si>
    <t>Mean nutrient input to Lake Arresø in the 1970s was 82 tons TP and 508 tons TN.</t>
  </si>
  <si>
    <t>Fe:TP ratio</t>
  </si>
  <si>
    <t>9,5-15,7</t>
  </si>
  <si>
    <t>Suppl. S3</t>
  </si>
  <si>
    <t>Tabel S2</t>
  </si>
  <si>
    <t>Table S3</t>
  </si>
  <si>
    <t>% P-Ca</t>
  </si>
  <si>
    <t>% P-Al</t>
  </si>
  <si>
    <t>% P-residual</t>
  </si>
  <si>
    <t>Table 3</t>
  </si>
  <si>
    <t>1970s</t>
  </si>
  <si>
    <t>Table 2</t>
  </si>
  <si>
    <t>Range/mean</t>
  </si>
  <si>
    <t>of spatial samples</t>
  </si>
  <si>
    <t>((</t>
  </si>
  <si>
    <t>2 g P/m2</t>
  </si>
  <si>
    <t>12 g N/m2/y</t>
  </si>
  <si>
    <t>P-lake</t>
  </si>
  <si>
    <t>Log chl = -0,68+1,25*log TP</t>
  </si>
  <si>
    <t>Non-stratified lakes</t>
  </si>
  <si>
    <t xml:space="preserve">Chl </t>
  </si>
  <si>
    <t>mg/m3</t>
  </si>
  <si>
    <t>% input from urban areas of lake inlets</t>
  </si>
  <si>
    <t xml:space="preserve">% input from urban areas in 1985-87 of </t>
  </si>
  <si>
    <t>areas in 2018 of 1985-87</t>
  </si>
  <si>
    <t>45 tons</t>
  </si>
  <si>
    <t>1,5 tons/year</t>
  </si>
  <si>
    <t xml:space="preserve">reelle </t>
  </si>
  <si>
    <t>1988-2014</t>
  </si>
  <si>
    <t>Fig 3. Mean annual concentrations of phoshate, nitrate and ammonia in the outlet from Lake Arresø during summer and winter between 1967 and 1976.</t>
  </si>
  <si>
    <t>phisphate</t>
  </si>
  <si>
    <t>winter</t>
  </si>
  <si>
    <t>summer</t>
  </si>
  <si>
    <t>(mg P L-1)</t>
  </si>
  <si>
    <t>Nitrate</t>
  </si>
  <si>
    <t>(mg N L-1)</t>
  </si>
  <si>
    <t>Ammonia</t>
  </si>
  <si>
    <t>Permanganate (measures easily degradable organic matter)</t>
  </si>
  <si>
    <t>Table S4</t>
  </si>
  <si>
    <t>Phosphate</t>
  </si>
  <si>
    <t>mg P l-1</t>
  </si>
  <si>
    <t>mg N l-1</t>
  </si>
  <si>
    <t>year</t>
  </si>
  <si>
    <t>season</t>
  </si>
  <si>
    <t>2-5</t>
  </si>
  <si>
    <t>5-10</t>
  </si>
  <si>
    <t>10-20</t>
  </si>
  <si>
    <t>OC</t>
  </si>
  <si>
    <t>type</t>
  </si>
  <si>
    <t>TP_OC</t>
  </si>
  <si>
    <t>Table 1</t>
  </si>
  <si>
    <t>Catchment area (km2)</t>
  </si>
  <si>
    <t>Cultivated area (km2)</t>
  </si>
  <si>
    <t>Lake area (km2)</t>
  </si>
  <si>
    <t>Mean depth (m)</t>
  </si>
  <si>
    <t>Max depth (m)</t>
  </si>
  <si>
    <t>Water retention time (years)</t>
  </si>
  <si>
    <t>2.47 (2.47, 1.75–3.35)</t>
  </si>
  <si>
    <t>2.4 (3.1, 1.3–5.9)</t>
  </si>
  <si>
    <t>Alkalinity (mmol l-1)*</t>
  </si>
  <si>
    <t>ton year-1</t>
  </si>
  <si>
    <t>Output from water treatment plants and by stormflow</t>
  </si>
  <si>
    <t>152–177</t>
  </si>
  <si>
    <t>6.8–13.7</t>
  </si>
  <si>
    <t>4.0–10.87</t>
  </si>
  <si>
    <t>136–157</t>
  </si>
  <si>
    <t>7.1–13.3</t>
  </si>
  <si>
    <t>3.7–17.1</t>
  </si>
  <si>
    <t>113–150</t>
  </si>
  <si>
    <t>6.9–14.4</t>
  </si>
  <si>
    <t>3.9–21.8</t>
  </si>
  <si>
    <t>132–180</t>
  </si>
  <si>
    <t>9.8–15.8</t>
  </si>
  <si>
    <t>9.6–24.7</t>
  </si>
  <si>
    <t>111–156</t>
  </si>
  <si>
    <t>9.5–15.7</t>
  </si>
  <si>
    <t>10.3–22.8</t>
  </si>
  <si>
    <t>125–127</t>
  </si>
  <si>
    <t>11.6–17.7</t>
  </si>
  <si>
    <t>15.0–25.6</t>
  </si>
  <si>
    <t>10.0 (0.65)</t>
  </si>
  <si>
    <t>8.1 (0.7)</t>
  </si>
  <si>
    <t>7.6 (0.4)</t>
  </si>
  <si>
    <t>7.83 (0.62)</t>
  </si>
  <si>
    <t>12.1 (0.22)</t>
  </si>
  <si>
    <t>78.3 (1.59)</t>
  </si>
  <si>
    <t>98.0 (6.5)</t>
  </si>
  <si>
    <t>9.64 (0.41)</t>
  </si>
  <si>
    <t>7.4(0.03)</t>
  </si>
  <si>
    <t>7.3 (0.3)</t>
  </si>
  <si>
    <t>8.14 (0.48)</t>
  </si>
  <si>
    <t>12.3 (0.79)</t>
  </si>
  <si>
    <t>78.4 (1.52)</t>
  </si>
  <si>
    <t>94.5 (5.7)</t>
  </si>
  <si>
    <t>9.43(1.05)</t>
  </si>
  <si>
    <t>7.5 (0.06)</t>
  </si>
  <si>
    <t>7.2 (0.3)</t>
  </si>
  <si>
    <t>9.18 (0.95)</t>
  </si>
  <si>
    <t>12.9 (1.8)</t>
  </si>
  <si>
    <t>86.2 (4.8)</t>
  </si>
  <si>
    <t>94.3 (29.8)</t>
  </si>
  <si>
    <t>8.06 (0.23)</t>
  </si>
  <si>
    <t>7.4 (0.2)</t>
  </si>
  <si>
    <t>7.7 (0.2)</t>
  </si>
  <si>
    <t>10.5 (1.2)</t>
  </si>
  <si>
    <t>11.3 (0.77)</t>
  </si>
  <si>
    <t>90.6 (4.6)</t>
  </si>
  <si>
    <t>6.81 ((0.51)</t>
  </si>
  <si>
    <t>6.3 (0.5)</t>
  </si>
  <si>
    <t>12.1 (1.4)</t>
  </si>
  <si>
    <t>11.4 (1.1)</t>
  </si>
  <si>
    <t>76.3 (14.1)</t>
  </si>
  <si>
    <t>8.18 (0.06)</t>
  </si>
  <si>
    <t>7.9 (0.3)</t>
  </si>
  <si>
    <t>8.0 (0.2)</t>
  </si>
  <si>
    <t>16.0 (1.9)</t>
  </si>
  <si>
    <t>13.1 (3.6)</t>
  </si>
  <si>
    <t>105.5(18.8)</t>
  </si>
  <si>
    <t>0–2</t>
  </si>
  <si>
    <t>2–5</t>
  </si>
  <si>
    <t>5–10</t>
  </si>
  <si>
    <t>10–20</t>
  </si>
  <si>
    <t>20–30</t>
  </si>
  <si>
    <t>30–40</t>
  </si>
  <si>
    <t>Sediment depth</t>
  </si>
  <si>
    <t>277-450</t>
  </si>
  <si>
    <t>237-420</t>
  </si>
  <si>
    <t>18-360</t>
  </si>
  <si>
    <t>180-340</t>
  </si>
  <si>
    <t>184-314</t>
  </si>
  <si>
    <t>188-263</t>
  </si>
  <si>
    <t>277–450</t>
  </si>
  <si>
    <t>237–420</t>
  </si>
  <si>
    <t>18–360</t>
  </si>
  <si>
    <t>180–340</t>
  </si>
  <si>
    <t>184–314</t>
  </si>
  <si>
    <t>188–263</t>
  </si>
  <si>
    <t>mg OC g DW-1</t>
  </si>
  <si>
    <t>µg/L</t>
  </si>
  <si>
    <t>date</t>
  </si>
  <si>
    <t>1976-01.04</t>
  </si>
  <si>
    <t>1976-11.04</t>
  </si>
  <si>
    <t>1976-25.04</t>
  </si>
  <si>
    <t>1976-03.05</t>
  </si>
  <si>
    <t>1976-09.05</t>
  </si>
  <si>
    <t>1976-20.05</t>
  </si>
  <si>
    <t>1976-8.06</t>
  </si>
  <si>
    <t>1976-20.06</t>
  </si>
  <si>
    <t>1976-16.07</t>
  </si>
  <si>
    <t>1976-29.07</t>
  </si>
  <si>
    <t>1976-12.08</t>
  </si>
  <si>
    <t>1976-8.09</t>
  </si>
  <si>
    <t>1976-20.09</t>
  </si>
  <si>
    <t>1976-3.10</t>
  </si>
  <si>
    <t>1976-25.10</t>
  </si>
  <si>
    <t>1976-20.11</t>
  </si>
  <si>
    <t>1973-01-04</t>
  </si>
  <si>
    <t>1973-01-05</t>
  </si>
  <si>
    <t>1973-25-05</t>
  </si>
  <si>
    <t>1973-10-07</t>
  </si>
  <si>
    <t>1973-03-08</t>
  </si>
  <si>
    <t>1973-12-09</t>
  </si>
  <si>
    <t>1973-02-10</t>
  </si>
  <si>
    <t>1973-05-11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</si>
</sst>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" fontId="0" fillId="0" borderId="0" xfId="0" applyNumberFormat="1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/>
    <xf numFmtId="3" fontId="0" fillId="0" borderId="0" xfId="0" applyNumberFormat="1"/>
    <xf numFmtId="17" fontId="0" fillId="0" borderId="0" xfId="0" applyNumberFormat="1"/>
    <xf numFmtId="16" fontId="1" fillId="0" borderId="0" xfId="0" applyNumberFormat="1" applyFont="1"/>
    <xf numFmtId="17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0" fontId="3" fillId="0" borderId="0" xfId="0" applyFont="1"/>
    <xf numFmtId="16" fontId="3" fillId="0" borderId="0" xfId="0" quotePrefix="1" applyNumberFormat="1" applyFont="1"/>
    <xf numFmtId="0" fontId="3" fillId="0" borderId="0" xfId="0" quotePrefix="1" applyFont="1"/>
    <xf numFmtId="0" fontId="0" fillId="0" borderId="0" xfId="0" applyAlignment="1">
      <alignment wrapText="1"/>
    </xf>
    <xf numFmtId="165" fontId="0" fillId="0" borderId="0" xfId="0" applyNumberFormat="1"/>
    <xf numFmtId="2" fontId="1" fillId="0" borderId="0" xfId="0" applyNumberFormat="1" applyFont="1"/>
    <xf numFmtId="165" fontId="1" fillId="0" borderId="0" xfId="0" applyNumberFormat="1" applyFont="1"/>
    <xf numFmtId="0" fontId="1" fillId="0" borderId="0" xfId="0" quotePrefix="1" applyFont="1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removal (g/m2/y)</a:t>
            </a:r>
            <a:r>
              <a:rPr lang="en-US" baseline="0"/>
              <a:t> vs lake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Sheet1!$A$93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Sheet1!$B$92:$H$92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</c:numCache>
            </c:numRef>
          </c:xVal>
          <c:yVal>
            <c:numRef>
              <c:f>Sheet1!$B$93:$H$93</c:f>
              <c:numCache>
                <c:formatCode>General</c:formatCode>
                <c:ptCount val="7"/>
                <c:pt idx="0">
                  <c:v>24.2</c:v>
                </c:pt>
                <c:pt idx="1">
                  <c:v>13.91</c:v>
                </c:pt>
                <c:pt idx="2">
                  <c:v>-7.0000000000000007E-2</c:v>
                </c:pt>
                <c:pt idx="3">
                  <c:v>-0.5</c:v>
                </c:pt>
                <c:pt idx="4">
                  <c:v>1.2969999999999999</c:v>
                </c:pt>
                <c:pt idx="5">
                  <c:v>8.7799999999999994</c:v>
                </c:pt>
                <c:pt idx="6">
                  <c:v>11.29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97-4B67-B9EE-6A0B7AFAC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013816"/>
        <c:axId val="353012504"/>
      </c:scatterChart>
      <c:valAx>
        <c:axId val="35301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12504"/>
        <c:crosses val="autoZero"/>
        <c:crossBetween val="midCat"/>
      </c:valAx>
      <c:valAx>
        <c:axId val="35301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13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Arresø</a:t>
            </a:r>
            <a:r>
              <a:rPr lang="en-US" baseline="0"/>
              <a:t> </a:t>
            </a:r>
            <a:r>
              <a:rPr lang="en-US"/>
              <a:t>N input vs N removed (g N/m2/y)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Sheet1!$N$87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Sheet1!$O$86:$AC$86</c:f>
              <c:numCache>
                <c:formatCode>General</c:formatCode>
                <c:ptCount val="15"/>
                <c:pt idx="0">
                  <c:v>8.98</c:v>
                </c:pt>
                <c:pt idx="1">
                  <c:v>10.625</c:v>
                </c:pt>
                <c:pt idx="2">
                  <c:v>14.1</c:v>
                </c:pt>
                <c:pt idx="3">
                  <c:v>11.45</c:v>
                </c:pt>
                <c:pt idx="4">
                  <c:v>10.65</c:v>
                </c:pt>
                <c:pt idx="5">
                  <c:v>12.9</c:v>
                </c:pt>
                <c:pt idx="6">
                  <c:v>9.35</c:v>
                </c:pt>
                <c:pt idx="7">
                  <c:v>4.3250000000000002</c:v>
                </c:pt>
                <c:pt idx="8">
                  <c:v>4.4000000000000004</c:v>
                </c:pt>
                <c:pt idx="9">
                  <c:v>12.125</c:v>
                </c:pt>
                <c:pt idx="10">
                  <c:v>9.0350000000000001</c:v>
                </c:pt>
                <c:pt idx="11">
                  <c:v>7.7675000000000001</c:v>
                </c:pt>
                <c:pt idx="12">
                  <c:v>6.7675000000000001</c:v>
                </c:pt>
                <c:pt idx="13">
                  <c:v>10.025</c:v>
                </c:pt>
                <c:pt idx="14">
                  <c:v>6.125</c:v>
                </c:pt>
              </c:numCache>
            </c:numRef>
          </c:xVal>
          <c:yVal>
            <c:numRef>
              <c:f>Sheet1!$O$87:$AC$87</c:f>
              <c:numCache>
                <c:formatCode>General</c:formatCode>
                <c:ptCount val="15"/>
                <c:pt idx="0">
                  <c:v>6.5250000000000004</c:v>
                </c:pt>
                <c:pt idx="1">
                  <c:v>7.875</c:v>
                </c:pt>
                <c:pt idx="2">
                  <c:v>12.35</c:v>
                </c:pt>
                <c:pt idx="3">
                  <c:v>7.2750000000000004</c:v>
                </c:pt>
                <c:pt idx="4">
                  <c:v>7</c:v>
                </c:pt>
                <c:pt idx="5">
                  <c:v>5.45</c:v>
                </c:pt>
                <c:pt idx="6">
                  <c:v>4.1749999999999998</c:v>
                </c:pt>
                <c:pt idx="7">
                  <c:v>3.8</c:v>
                </c:pt>
                <c:pt idx="8">
                  <c:v>3.2749999999999999</c:v>
                </c:pt>
                <c:pt idx="9">
                  <c:v>7.5750000000000002</c:v>
                </c:pt>
                <c:pt idx="10">
                  <c:v>5.85</c:v>
                </c:pt>
                <c:pt idx="11">
                  <c:v>3.15</c:v>
                </c:pt>
                <c:pt idx="12">
                  <c:v>3.9249999999999998</c:v>
                </c:pt>
                <c:pt idx="13">
                  <c:v>5.6</c:v>
                </c:pt>
                <c:pt idx="14">
                  <c:v>3.0249999999999999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B-4418-9C53-5A106072D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417672"/>
        <c:axId val="462418328"/>
      </c:scatterChart>
      <c:valAx>
        <c:axId val="46241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8328"/>
        <c:crosses val="autoZero"/>
        <c:crossBetween val="midCat"/>
      </c:valAx>
      <c:valAx>
        <c:axId val="46241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7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Arresø, P retention,</a:t>
            </a:r>
            <a:r>
              <a:rPr lang="en-US" baseline="0"/>
              <a:t> g P/m2/y</a:t>
            </a:r>
            <a:r>
              <a:rPr lang="en-US"/>
              <a:t> vs retention time, years</a:t>
            </a:r>
          </a:p>
        </c:rich>
      </c:tx>
      <c:layout>
        <c:manualLayout>
          <c:xMode val="edge"/>
          <c:yMode val="edge"/>
          <c:x val="0.120062335958005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1146106736655E-2"/>
          <c:y val="0.19721055701370663"/>
          <c:w val="0.88264107611548559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Sheet1!$A$114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Sheet1!$B$113:$Q$113</c:f>
              <c:numCache>
                <c:formatCode>General</c:formatCode>
                <c:ptCount val="16"/>
                <c:pt idx="0">
                  <c:v>3.1</c:v>
                </c:pt>
                <c:pt idx="1">
                  <c:v>2.4390335305719919</c:v>
                </c:pt>
                <c:pt idx="2">
                  <c:v>1.6620833333333334</c:v>
                </c:pt>
                <c:pt idx="3">
                  <c:v>2.5602277432712217</c:v>
                </c:pt>
                <c:pt idx="4">
                  <c:v>2.8104318181818182</c:v>
                </c:pt>
                <c:pt idx="5">
                  <c:v>1.3724639289678138</c:v>
                </c:pt>
                <c:pt idx="6">
                  <c:v>1.5098778998778999</c:v>
                </c:pt>
                <c:pt idx="7">
                  <c:v>3.5739595375722542</c:v>
                </c:pt>
                <c:pt idx="8">
                  <c:v>2.944261904761905</c:v>
                </c:pt>
                <c:pt idx="9">
                  <c:v>1.4565253239104829</c:v>
                </c:pt>
                <c:pt idx="10">
                  <c:v>1.6946553378100591</c:v>
                </c:pt>
                <c:pt idx="11">
                  <c:v>1.7630310806957514</c:v>
                </c:pt>
                <c:pt idx="12">
                  <c:v>2.1283820998278831</c:v>
                </c:pt>
                <c:pt idx="13">
                  <c:v>1.345582154515778</c:v>
                </c:pt>
                <c:pt idx="14">
                  <c:v>1.9083179012345681</c:v>
                </c:pt>
                <c:pt idx="15">
                  <c:v>1.6313852242744065</c:v>
                </c:pt>
              </c:numCache>
            </c:numRef>
          </c:xVal>
          <c:yVal>
            <c:numRef>
              <c:f>Sheet1!$B$114:$Q$114</c:f>
              <c:numCache>
                <c:formatCode>General</c:formatCode>
                <c:ptCount val="16"/>
                <c:pt idx="0">
                  <c:v>0.32750000000000001</c:v>
                </c:pt>
                <c:pt idx="1">
                  <c:v>0.12</c:v>
                </c:pt>
                <c:pt idx="2">
                  <c:v>-3.4999999999999996E-2</c:v>
                </c:pt>
                <c:pt idx="3">
                  <c:v>-0.20499999999999999</c:v>
                </c:pt>
                <c:pt idx="4">
                  <c:v>-0.155</c:v>
                </c:pt>
                <c:pt idx="5">
                  <c:v>-0.50250000000000006</c:v>
                </c:pt>
                <c:pt idx="6">
                  <c:v>-0.36</c:v>
                </c:pt>
                <c:pt idx="7">
                  <c:v>8.7499999999999994E-2</c:v>
                </c:pt>
                <c:pt idx="8">
                  <c:v>2.7500000000000004E-2</c:v>
                </c:pt>
                <c:pt idx="9">
                  <c:v>-6.5000000000000002E-2</c:v>
                </c:pt>
                <c:pt idx="10">
                  <c:v>2.2499999999999999E-2</c:v>
                </c:pt>
                <c:pt idx="11">
                  <c:v>-0.14250000000000002</c:v>
                </c:pt>
                <c:pt idx="12">
                  <c:v>-0.05</c:v>
                </c:pt>
                <c:pt idx="13">
                  <c:v>-0.16750000000000001</c:v>
                </c:pt>
                <c:pt idx="14">
                  <c:v>-0.11750000000000001</c:v>
                </c:pt>
                <c:pt idx="15">
                  <c:v>1.2500000000000001E-2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E-4BC2-918C-48242BCE2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72816"/>
        <c:axId val="464472488"/>
      </c:scatterChart>
      <c:valAx>
        <c:axId val="4644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488"/>
        <c:crosses val="autoZero"/>
        <c:crossBetween val="midCat"/>
      </c:valAx>
      <c:valAx>
        <c:axId val="46447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spildevand,</a:t>
            </a:r>
            <a:r>
              <a:rPr lang="en-US" baseline="0"/>
              <a:t> blå, input, gul fra 1989 til 2004, tons/år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692038495188118E-2"/>
          <c:y val="0.20817184310294545"/>
          <c:w val="0.88464129483814524"/>
          <c:h val="0.7075769174686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Sheet1!$E$135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Sheet1!$F$134:$U$134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Sheet1!$F$135:$U$135</c:f>
              <c:numCache>
                <c:formatCode>General</c:formatCode>
                <c:ptCount val="16"/>
                <c:pt idx="0">
                  <c:v>30</c:v>
                </c:pt>
                <c:pt idx="1">
                  <c:v>25.7</c:v>
                </c:pt>
                <c:pt idx="2">
                  <c:v>16.7</c:v>
                </c:pt>
                <c:pt idx="3">
                  <c:v>13.8</c:v>
                </c:pt>
                <c:pt idx="4">
                  <c:v>11.6</c:v>
                </c:pt>
                <c:pt idx="5">
                  <c:v>12.7</c:v>
                </c:pt>
                <c:pt idx="6">
                  <c:v>8.3000000000000007</c:v>
                </c:pt>
                <c:pt idx="7">
                  <c:v>5.5</c:v>
                </c:pt>
                <c:pt idx="8">
                  <c:v>5.7</c:v>
                </c:pt>
                <c:pt idx="9">
                  <c:v>6</c:v>
                </c:pt>
                <c:pt idx="10">
                  <c:v>5.6</c:v>
                </c:pt>
                <c:pt idx="11">
                  <c:v>4.9000000000000004</c:v>
                </c:pt>
                <c:pt idx="12">
                  <c:v>4.3</c:v>
                </c:pt>
                <c:pt idx="13">
                  <c:v>6.6</c:v>
                </c:pt>
                <c:pt idx="14">
                  <c:v>4.5</c:v>
                </c:pt>
                <c:pt idx="1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F-453A-A5FC-558FC364A00F}"/>
            </c:ext>
          </c:extLst>
        </c:ser>
        <c:ser>
          <c:idx val="1"/>
          <c:order val="1"/>
          <c:tx>
            <c:strRef>
              <c:f>Sheet1!$E$136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Sheet1!$F$134:$U$134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Sheet1!$F$136:$U$136</c:f>
              <c:numCache>
                <c:formatCode>General</c:formatCode>
                <c:ptCount val="16"/>
                <c:pt idx="0">
                  <c:v>27.1</c:v>
                </c:pt>
                <c:pt idx="1">
                  <c:v>27.8</c:v>
                </c:pt>
                <c:pt idx="2">
                  <c:v>23.6</c:v>
                </c:pt>
                <c:pt idx="3">
                  <c:v>11.6</c:v>
                </c:pt>
                <c:pt idx="4">
                  <c:v>10.9</c:v>
                </c:pt>
                <c:pt idx="5">
                  <c:v>11.2</c:v>
                </c:pt>
                <c:pt idx="6">
                  <c:v>8.5</c:v>
                </c:pt>
                <c:pt idx="7">
                  <c:v>6.5</c:v>
                </c:pt>
                <c:pt idx="8">
                  <c:v>6.1</c:v>
                </c:pt>
                <c:pt idx="9">
                  <c:v>10.5</c:v>
                </c:pt>
                <c:pt idx="10">
                  <c:v>10</c:v>
                </c:pt>
                <c:pt idx="11">
                  <c:v>8.9</c:v>
                </c:pt>
                <c:pt idx="12">
                  <c:v>6.7</c:v>
                </c:pt>
                <c:pt idx="13">
                  <c:v>12.5</c:v>
                </c:pt>
                <c:pt idx="14">
                  <c:v>8.1</c:v>
                </c:pt>
                <c:pt idx="1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F-453A-A5FC-558FC364A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72816"/>
        <c:axId val="464478392"/>
      </c:scatterChart>
      <c:valAx>
        <c:axId val="4644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8392"/>
        <c:crosses val="autoZero"/>
        <c:crossBetween val="midCat"/>
      </c:valAx>
      <c:valAx>
        <c:axId val="46447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Spildevand,</a:t>
            </a:r>
            <a:r>
              <a:rPr lang="en-US" baseline="0"/>
              <a:t> gra, input gul Tons N/år TN </a:t>
            </a:r>
            <a:r>
              <a:rPr lang="en-US"/>
              <a:t>1989-2003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8560185185185185"/>
          <c:w val="0.87753018372703417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Sheet1!$C$157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Sheet1!$D$157:$R$157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2-453C-846B-C1DEC12839CC}"/>
            </c:ext>
          </c:extLst>
        </c:ser>
        <c:ser>
          <c:idx val="1"/>
          <c:order val="1"/>
          <c:tx>
            <c:strRef>
              <c:f>Sheet1!$C$158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Sheet1!$D$158:$R$158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22-453C-846B-C1DEC12839CC}"/>
            </c:ext>
          </c:extLst>
        </c:ser>
        <c:ser>
          <c:idx val="2"/>
          <c:order val="2"/>
          <c:tx>
            <c:strRef>
              <c:f>Sheet1!$C$159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Sheet1!$D$159:$R$159</c:f>
              <c:numCache>
                <c:formatCode>General</c:formatCode>
                <c:ptCount val="15"/>
                <c:pt idx="0">
                  <c:v>168</c:v>
                </c:pt>
                <c:pt idx="1">
                  <c:v>182</c:v>
                </c:pt>
                <c:pt idx="2">
                  <c:v>149</c:v>
                </c:pt>
                <c:pt idx="3">
                  <c:v>131</c:v>
                </c:pt>
                <c:pt idx="4">
                  <c:v>97</c:v>
                </c:pt>
                <c:pt idx="5">
                  <c:v>82.5</c:v>
                </c:pt>
                <c:pt idx="6">
                  <c:v>63.3</c:v>
                </c:pt>
                <c:pt idx="7">
                  <c:v>51.5</c:v>
                </c:pt>
                <c:pt idx="8">
                  <c:v>49.2</c:v>
                </c:pt>
                <c:pt idx="9">
                  <c:v>50.8</c:v>
                </c:pt>
                <c:pt idx="10">
                  <c:v>57.1</c:v>
                </c:pt>
                <c:pt idx="11">
                  <c:v>42.1</c:v>
                </c:pt>
                <c:pt idx="12">
                  <c:v>48.3</c:v>
                </c:pt>
                <c:pt idx="13">
                  <c:v>58.3</c:v>
                </c:pt>
                <c:pt idx="14">
                  <c:v>42.4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22-453C-846B-C1DEC12839CC}"/>
            </c:ext>
          </c:extLst>
        </c:ser>
        <c:ser>
          <c:idx val="3"/>
          <c:order val="3"/>
          <c:tx>
            <c:strRef>
              <c:f>Sheet1!$C$160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Sheet1!$D$160:$R$160</c:f>
              <c:numCache>
                <c:formatCode>General</c:formatCode>
                <c:ptCount val="15"/>
                <c:pt idx="0">
                  <c:v>359.2</c:v>
                </c:pt>
                <c:pt idx="1">
                  <c:v>425.2</c:v>
                </c:pt>
                <c:pt idx="2">
                  <c:v>564</c:v>
                </c:pt>
                <c:pt idx="3">
                  <c:v>468</c:v>
                </c:pt>
                <c:pt idx="4">
                  <c:v>426</c:v>
                </c:pt>
                <c:pt idx="5">
                  <c:v>516</c:v>
                </c:pt>
                <c:pt idx="6">
                  <c:v>374</c:v>
                </c:pt>
                <c:pt idx="7">
                  <c:v>173</c:v>
                </c:pt>
                <c:pt idx="8">
                  <c:v>176</c:v>
                </c:pt>
                <c:pt idx="9">
                  <c:v>485</c:v>
                </c:pt>
                <c:pt idx="10">
                  <c:v>261</c:v>
                </c:pt>
                <c:pt idx="11">
                  <c:v>311</c:v>
                </c:pt>
                <c:pt idx="12">
                  <c:v>271</c:v>
                </c:pt>
                <c:pt idx="13">
                  <c:v>401</c:v>
                </c:pt>
                <c:pt idx="14">
                  <c:v>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22-453C-846B-C1DEC1283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546280"/>
        <c:axId val="465548576"/>
      </c:scatterChart>
      <c:valAx>
        <c:axId val="4655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8576"/>
        <c:crosses val="autoZero"/>
        <c:crossBetween val="midCat"/>
      </c:valAx>
      <c:valAx>
        <c:axId val="4655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6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Sheet3!$C$164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Sheet3!$B$165:$B$180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xVal>
          <c:yVal>
            <c:numRef>
              <c:f>Sheet3!$C$165:$C$180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9.75</c:v>
                </c:pt>
                <c:pt idx="3">
                  <c:v>9.125</c:v>
                </c:pt>
                <c:pt idx="4">
                  <c:v>8.3125</c:v>
                </c:pt>
                <c:pt idx="5">
                  <c:v>7.40625</c:v>
                </c:pt>
                <c:pt idx="6">
                  <c:v>6.453125</c:v>
                </c:pt>
                <c:pt idx="7">
                  <c:v>5.4764999999999997</c:v>
                </c:pt>
                <c:pt idx="8">
                  <c:v>4.4882499999999999</c:v>
                </c:pt>
                <c:pt idx="9">
                  <c:v>3.4940000000000002</c:v>
                </c:pt>
                <c:pt idx="10">
                  <c:v>2.4969999999999999</c:v>
                </c:pt>
                <c:pt idx="11">
                  <c:v>1.7484999999999999</c:v>
                </c:pt>
                <c:pt idx="12">
                  <c:v>1.37425</c:v>
                </c:pt>
                <c:pt idx="13">
                  <c:v>1.1871</c:v>
                </c:pt>
                <c:pt idx="14">
                  <c:v>1.09355</c:v>
                </c:pt>
                <c:pt idx="15">
                  <c:v>1.046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6-40E7-869D-3CA60F3BC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993256"/>
        <c:axId val="352996864"/>
      </c:scatterChart>
      <c:valAx>
        <c:axId val="35299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96864"/>
        <c:crosses val="autoZero"/>
        <c:crossBetween val="midCat"/>
      </c:valAx>
      <c:valAx>
        <c:axId val="3529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93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93</xdr:row>
      <xdr:rowOff>146050</xdr:rowOff>
    </xdr:from>
    <xdr:to>
      <xdr:col>8</xdr:col>
      <xdr:colOff>66675</xdr:colOff>
      <xdr:row>108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587375</xdr:colOff>
      <xdr:row>88</xdr:row>
      <xdr:rowOff>50800</xdr:rowOff>
    </xdr:from>
    <xdr:to>
      <xdr:col>25</xdr:col>
      <xdr:colOff>206375</xdr:colOff>
      <xdr:row>103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542925</xdr:colOff>
      <xdr:row>115</xdr:row>
      <xdr:rowOff>57150</xdr:rowOff>
    </xdr:from>
    <xdr:to>
      <xdr:col>8</xdr:col>
      <xdr:colOff>238125</xdr:colOff>
      <xdr:row>130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530225</xdr:colOff>
      <xdr:row>138</xdr:row>
      <xdr:rowOff>120650</xdr:rowOff>
    </xdr:from>
    <xdr:to>
      <xdr:col>15</xdr:col>
      <xdr:colOff>149225</xdr:colOff>
      <xdr:row>153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530225</xdr:colOff>
      <xdr:row>161</xdr:row>
      <xdr:rowOff>38100</xdr:rowOff>
    </xdr:from>
    <xdr:to>
      <xdr:col>12</xdr:col>
      <xdr:colOff>225425</xdr:colOff>
      <xdr:row>176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164</xdr:row>
      <xdr:rowOff>22225</xdr:rowOff>
    </xdr:from>
    <xdr:to>
      <xdr:col>11</xdr:col>
      <xdr:colOff>330200</xdr:colOff>
      <xdr:row>179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0"/>
  <sheetViews>
    <sheetView zoomScale="90" zoomScaleNormal="90" workbookViewId="0">
      <selection activeCell="M23" sqref="M23"/>
    </sheetView>
  </sheetViews>
  <sheetFormatPr baseColWidth="10" defaultColWidth="8.83203125" defaultRowHeight="15" x14ac:dyDescent="0.2"/>
  <cols>
    <col min="14" max="14" width="9.83203125" bestFit="1" customWidth="1"/>
    <col min="19" max="19" width="9.83203125" bestFit="1" customWidth="1"/>
  </cols>
  <sheetData>
    <row r="1" spans="1:25" x14ac:dyDescent="0.2">
      <c r="A1" t="s">
        <v>0</v>
      </c>
      <c r="J1" t="s">
        <v>10</v>
      </c>
      <c r="L1">
        <v>1941</v>
      </c>
      <c r="M1" t="s">
        <v>20</v>
      </c>
      <c r="N1" t="s">
        <v>22</v>
      </c>
    </row>
    <row r="2" spans="1:25" x14ac:dyDescent="0.2">
      <c r="A2" t="s">
        <v>7</v>
      </c>
      <c r="B2" t="s">
        <v>8</v>
      </c>
      <c r="J2" t="s">
        <v>11</v>
      </c>
      <c r="L2" t="s">
        <v>21</v>
      </c>
      <c r="M2" t="s">
        <v>21</v>
      </c>
      <c r="Q2" t="s">
        <v>157</v>
      </c>
      <c r="S2">
        <v>1938</v>
      </c>
      <c r="T2" t="s">
        <v>2</v>
      </c>
      <c r="U2">
        <v>1973</v>
      </c>
      <c r="V2">
        <v>1976</v>
      </c>
    </row>
    <row r="3" spans="1:25" x14ac:dyDescent="0.2">
      <c r="A3" t="s">
        <v>1</v>
      </c>
      <c r="B3">
        <v>1938</v>
      </c>
      <c r="C3" t="s">
        <v>2</v>
      </c>
      <c r="D3">
        <v>1976</v>
      </c>
      <c r="F3" t="s">
        <v>9</v>
      </c>
      <c r="G3">
        <v>1976</v>
      </c>
      <c r="J3" t="s">
        <v>12</v>
      </c>
      <c r="L3" t="s">
        <v>21</v>
      </c>
      <c r="M3" t="s">
        <v>21</v>
      </c>
      <c r="Q3" t="s">
        <v>1</v>
      </c>
      <c r="R3" t="s">
        <v>7</v>
      </c>
      <c r="S3" s="2">
        <v>30</v>
      </c>
      <c r="T3" s="2">
        <v>20</v>
      </c>
      <c r="U3" s="2">
        <v>37</v>
      </c>
      <c r="V3" s="2">
        <v>29.6</v>
      </c>
    </row>
    <row r="4" spans="1:25" x14ac:dyDescent="0.2">
      <c r="A4" t="s">
        <v>3</v>
      </c>
      <c r="B4" s="2">
        <v>30</v>
      </c>
      <c r="C4" s="2">
        <v>20</v>
      </c>
      <c r="D4" s="2">
        <v>29.6</v>
      </c>
      <c r="G4">
        <v>9.65</v>
      </c>
      <c r="J4" t="s">
        <v>13</v>
      </c>
      <c r="L4" t="s">
        <v>21</v>
      </c>
      <c r="Q4" t="s">
        <v>43</v>
      </c>
      <c r="R4" t="s">
        <v>141</v>
      </c>
      <c r="U4" s="2">
        <v>0.128</v>
      </c>
      <c r="V4" s="2">
        <v>0.26500000000000001</v>
      </c>
    </row>
    <row r="5" spans="1:25" x14ac:dyDescent="0.2">
      <c r="A5" t="s">
        <v>4</v>
      </c>
      <c r="C5">
        <v>15</v>
      </c>
      <c r="D5">
        <v>11</v>
      </c>
      <c r="G5">
        <v>9.35</v>
      </c>
      <c r="J5" t="s">
        <v>14</v>
      </c>
      <c r="L5" t="s">
        <v>21</v>
      </c>
      <c r="Q5" t="s">
        <v>153</v>
      </c>
      <c r="R5" t="s">
        <v>141</v>
      </c>
      <c r="U5" s="2">
        <v>0.60299999999999998</v>
      </c>
      <c r="V5" s="2">
        <v>0.73</v>
      </c>
    </row>
    <row r="6" spans="1:25" x14ac:dyDescent="0.2">
      <c r="A6" t="s">
        <v>5</v>
      </c>
      <c r="C6">
        <v>25</v>
      </c>
      <c r="D6">
        <v>38</v>
      </c>
      <c r="G6">
        <v>9.9499999999999993</v>
      </c>
      <c r="J6" t="s">
        <v>15</v>
      </c>
      <c r="L6" t="s">
        <v>21</v>
      </c>
      <c r="Q6" t="s">
        <v>154</v>
      </c>
      <c r="R6" t="s">
        <v>143</v>
      </c>
      <c r="U6" s="2">
        <v>0.18099999999999999</v>
      </c>
      <c r="V6" s="2">
        <v>0.38500000000000001</v>
      </c>
    </row>
    <row r="7" spans="1:25" x14ac:dyDescent="0.2">
      <c r="A7" t="s">
        <v>6</v>
      </c>
      <c r="C7">
        <v>3</v>
      </c>
      <c r="D7">
        <v>10</v>
      </c>
      <c r="G7">
        <v>10</v>
      </c>
      <c r="J7" t="s">
        <v>16</v>
      </c>
      <c r="L7" t="s">
        <v>21</v>
      </c>
      <c r="M7" t="s">
        <v>21</v>
      </c>
      <c r="Q7" t="s">
        <v>155</v>
      </c>
      <c r="R7" t="s">
        <v>143</v>
      </c>
      <c r="U7" s="2">
        <v>4.2210000000000001</v>
      </c>
      <c r="V7" s="2">
        <v>3.8849999999999998</v>
      </c>
    </row>
    <row r="8" spans="1:25" x14ac:dyDescent="0.2">
      <c r="J8" t="s">
        <v>17</v>
      </c>
      <c r="L8" t="s">
        <v>21</v>
      </c>
      <c r="M8" t="s">
        <v>21</v>
      </c>
      <c r="Q8" t="s">
        <v>156</v>
      </c>
      <c r="R8" t="s">
        <v>46</v>
      </c>
      <c r="U8" s="2">
        <v>134</v>
      </c>
      <c r="V8" s="2">
        <v>145</v>
      </c>
    </row>
    <row r="9" spans="1:25" x14ac:dyDescent="0.2">
      <c r="J9" t="s">
        <v>18</v>
      </c>
      <c r="L9" t="s">
        <v>21</v>
      </c>
    </row>
    <row r="10" spans="1:25" x14ac:dyDescent="0.2">
      <c r="J10" t="s">
        <v>19</v>
      </c>
      <c r="L10" t="s">
        <v>21</v>
      </c>
      <c r="S10" t="s">
        <v>145</v>
      </c>
    </row>
    <row r="11" spans="1:25" x14ac:dyDescent="0.2">
      <c r="A11" s="2">
        <v>1976</v>
      </c>
      <c r="B11" s="2" t="s">
        <v>32</v>
      </c>
      <c r="C11" s="2">
        <v>1976</v>
      </c>
      <c r="D11" s="2" t="s">
        <v>38</v>
      </c>
      <c r="E11" s="2"/>
      <c r="F11" s="2"/>
      <c r="G11" s="2">
        <v>1976</v>
      </c>
      <c r="H11" s="2" t="s">
        <v>43</v>
      </c>
      <c r="I11" s="2" t="s">
        <v>45</v>
      </c>
      <c r="J11" s="2"/>
      <c r="K11" s="2" t="s">
        <v>146</v>
      </c>
      <c r="L11" s="2" t="s">
        <v>147</v>
      </c>
      <c r="M11" s="2" t="s">
        <v>52</v>
      </c>
      <c r="N11" s="2" t="s">
        <v>50</v>
      </c>
      <c r="O11" s="2"/>
      <c r="P11" s="2">
        <v>1973</v>
      </c>
      <c r="Q11" t="s">
        <v>43</v>
      </c>
      <c r="R11" t="s">
        <v>137</v>
      </c>
      <c r="T11" t="s">
        <v>138</v>
      </c>
      <c r="U11" t="s">
        <v>139</v>
      </c>
      <c r="V11" t="s">
        <v>50</v>
      </c>
      <c r="W11" t="s">
        <v>52</v>
      </c>
      <c r="X11" t="s">
        <v>144</v>
      </c>
      <c r="Y11" t="s">
        <v>1</v>
      </c>
    </row>
    <row r="12" spans="1:25" x14ac:dyDescent="0.2">
      <c r="A12" t="s">
        <v>29</v>
      </c>
      <c r="B12" t="s">
        <v>33</v>
      </c>
      <c r="D12" t="s">
        <v>33</v>
      </c>
      <c r="E12" t="s">
        <v>33</v>
      </c>
      <c r="G12" t="s">
        <v>39</v>
      </c>
      <c r="H12" t="s">
        <v>44</v>
      </c>
      <c r="J12" t="s">
        <v>46</v>
      </c>
      <c r="K12" t="s">
        <v>8</v>
      </c>
      <c r="M12" t="s">
        <v>152</v>
      </c>
      <c r="N12" t="s">
        <v>8</v>
      </c>
      <c r="P12" t="s">
        <v>136</v>
      </c>
      <c r="Q12" t="s">
        <v>141</v>
      </c>
      <c r="R12" t="s">
        <v>142</v>
      </c>
      <c r="T12" t="s">
        <v>141</v>
      </c>
      <c r="U12" t="s">
        <v>143</v>
      </c>
      <c r="V12" t="s">
        <v>141</v>
      </c>
      <c r="W12" t="s">
        <v>143</v>
      </c>
      <c r="X12" t="s">
        <v>46</v>
      </c>
      <c r="Y12" t="s">
        <v>7</v>
      </c>
    </row>
    <row r="13" spans="1:25" x14ac:dyDescent="0.2">
      <c r="A13" t="s">
        <v>23</v>
      </c>
      <c r="B13">
        <v>1.54</v>
      </c>
      <c r="D13">
        <v>3.22</v>
      </c>
      <c r="E13">
        <v>3.22</v>
      </c>
      <c r="G13" t="s">
        <v>40</v>
      </c>
      <c r="H13">
        <v>360</v>
      </c>
      <c r="J13">
        <v>900</v>
      </c>
      <c r="K13" t="s">
        <v>149</v>
      </c>
      <c r="M13" t="s">
        <v>149</v>
      </c>
      <c r="N13" t="s">
        <v>148</v>
      </c>
      <c r="P13" t="s">
        <v>140</v>
      </c>
      <c r="Q13">
        <v>0.128</v>
      </c>
      <c r="R13">
        <v>0.18099999999999999</v>
      </c>
      <c r="U13">
        <v>4.04</v>
      </c>
      <c r="V13" s="2">
        <v>0.60299999999999998</v>
      </c>
      <c r="W13" s="2">
        <v>4.2210000000000001</v>
      </c>
      <c r="X13">
        <v>134</v>
      </c>
      <c r="Y13" s="2">
        <v>37</v>
      </c>
    </row>
    <row r="14" spans="1:25" x14ac:dyDescent="0.2">
      <c r="A14" t="s">
        <v>24</v>
      </c>
      <c r="B14">
        <v>1.71</v>
      </c>
      <c r="D14">
        <v>3.09</v>
      </c>
      <c r="E14">
        <f>12.6*0.219</f>
        <v>2.7593999999999999</v>
      </c>
      <c r="H14">
        <v>480</v>
      </c>
      <c r="K14" t="s">
        <v>151</v>
      </c>
      <c r="M14" t="s">
        <v>151</v>
      </c>
      <c r="N14" t="s">
        <v>141</v>
      </c>
    </row>
    <row r="15" spans="1:25" x14ac:dyDescent="0.2">
      <c r="A15" t="s">
        <v>25</v>
      </c>
      <c r="B15">
        <v>1.51</v>
      </c>
      <c r="D15">
        <v>3.07</v>
      </c>
      <c r="E15">
        <f>11*0.219</f>
        <v>2.4089999999999998</v>
      </c>
      <c r="G15" t="s">
        <v>34</v>
      </c>
      <c r="H15">
        <v>300</v>
      </c>
      <c r="J15">
        <v>250</v>
      </c>
      <c r="K15">
        <v>3.5</v>
      </c>
      <c r="M15">
        <v>3.8849999999999998</v>
      </c>
      <c r="N15">
        <v>0.73</v>
      </c>
    </row>
    <row r="16" spans="1:25" x14ac:dyDescent="0.2">
      <c r="A16" t="s">
        <v>34</v>
      </c>
      <c r="B16">
        <v>1.51</v>
      </c>
      <c r="D16">
        <v>3.13</v>
      </c>
      <c r="E16">
        <v>2.42</v>
      </c>
      <c r="H16">
        <v>140</v>
      </c>
    </row>
    <row r="17" spans="1:10" x14ac:dyDescent="0.2">
      <c r="A17" t="s">
        <v>35</v>
      </c>
      <c r="B17">
        <v>1</v>
      </c>
      <c r="D17">
        <v>2.2559999999999998</v>
      </c>
      <c r="E17">
        <f>7.1*0.219</f>
        <v>1.5548999999999999</v>
      </c>
      <c r="G17" t="s">
        <v>35</v>
      </c>
      <c r="H17">
        <v>180</v>
      </c>
      <c r="J17">
        <v>750</v>
      </c>
    </row>
    <row r="18" spans="1:10" x14ac:dyDescent="0.2">
      <c r="A18" t="s">
        <v>26</v>
      </c>
      <c r="B18">
        <v>1.175</v>
      </c>
      <c r="D18">
        <v>2.89</v>
      </c>
      <c r="E18">
        <f>12.2*0.219</f>
        <v>2.6717999999999997</v>
      </c>
      <c r="H18">
        <v>100</v>
      </c>
      <c r="J18">
        <v>450</v>
      </c>
    </row>
    <row r="19" spans="1:10" x14ac:dyDescent="0.2">
      <c r="A19" t="s">
        <v>27</v>
      </c>
      <c r="B19">
        <v>1.35</v>
      </c>
      <c r="D19">
        <v>2.91</v>
      </c>
      <c r="E19">
        <f>11.9*0.219</f>
        <v>2.6061000000000001</v>
      </c>
      <c r="H19">
        <v>40</v>
      </c>
      <c r="J19">
        <v>600</v>
      </c>
    </row>
    <row r="20" spans="1:10" x14ac:dyDescent="0.2">
      <c r="A20" t="s">
        <v>28</v>
      </c>
      <c r="B20">
        <v>1.55</v>
      </c>
      <c r="G20" t="s">
        <v>41</v>
      </c>
      <c r="H20">
        <v>100</v>
      </c>
      <c r="J20">
        <v>700</v>
      </c>
    </row>
    <row r="21" spans="1:10" x14ac:dyDescent="0.2">
      <c r="A21" t="s">
        <v>30</v>
      </c>
      <c r="B21">
        <v>1.45</v>
      </c>
      <c r="D21">
        <v>3.1760000000000002</v>
      </c>
      <c r="E21">
        <f>14.5*0.219</f>
        <v>3.1755</v>
      </c>
      <c r="H21">
        <v>140</v>
      </c>
      <c r="J21">
        <v>150</v>
      </c>
    </row>
    <row r="22" spans="1:10" x14ac:dyDescent="0.2">
      <c r="A22" t="s">
        <v>31</v>
      </c>
      <c r="D22">
        <v>3.0659999999999998</v>
      </c>
      <c r="E22">
        <f>14*0.219</f>
        <v>3.0659999999999998</v>
      </c>
      <c r="G22" t="s">
        <v>42</v>
      </c>
      <c r="H22">
        <v>280</v>
      </c>
      <c r="J22">
        <v>200</v>
      </c>
    </row>
    <row r="23" spans="1:10" x14ac:dyDescent="0.2">
      <c r="A23" t="s">
        <v>36</v>
      </c>
      <c r="B23">
        <v>1.5249999999999999</v>
      </c>
      <c r="D23">
        <v>3.1970000000000001</v>
      </c>
      <c r="E23">
        <f>14.6*0.219</f>
        <v>3.1974</v>
      </c>
      <c r="H23">
        <v>300</v>
      </c>
    </row>
    <row r="24" spans="1:10" x14ac:dyDescent="0.2">
      <c r="A24" t="s">
        <v>37</v>
      </c>
      <c r="B24">
        <v>1.45</v>
      </c>
      <c r="D24">
        <v>3</v>
      </c>
      <c r="E24">
        <f>13.7*0.219</f>
        <v>3.0002999999999997</v>
      </c>
      <c r="G24" t="s">
        <v>28</v>
      </c>
      <c r="H24">
        <v>360</v>
      </c>
      <c r="J24">
        <v>100</v>
      </c>
    </row>
    <row r="25" spans="1:10" x14ac:dyDescent="0.2">
      <c r="A25" t="s">
        <v>23</v>
      </c>
      <c r="B25">
        <v>1.65</v>
      </c>
      <c r="H25">
        <v>380</v>
      </c>
      <c r="J25">
        <v>300</v>
      </c>
    </row>
    <row r="26" spans="1:10" x14ac:dyDescent="0.2">
      <c r="G26" t="s">
        <v>30</v>
      </c>
      <c r="H26">
        <v>420</v>
      </c>
      <c r="J26">
        <v>250</v>
      </c>
    </row>
    <row r="27" spans="1:10" x14ac:dyDescent="0.2">
      <c r="H27">
        <v>620</v>
      </c>
      <c r="J27">
        <v>350</v>
      </c>
    </row>
    <row r="28" spans="1:10" x14ac:dyDescent="0.2">
      <c r="G28" t="s">
        <v>31</v>
      </c>
      <c r="H28">
        <v>600</v>
      </c>
      <c r="J28">
        <v>200</v>
      </c>
    </row>
    <row r="29" spans="1:10" x14ac:dyDescent="0.2">
      <c r="G29" t="s">
        <v>36</v>
      </c>
      <c r="H29">
        <v>600</v>
      </c>
      <c r="J29">
        <v>900</v>
      </c>
    </row>
    <row r="30" spans="1:10" x14ac:dyDescent="0.2">
      <c r="G30" t="s">
        <v>37</v>
      </c>
      <c r="H30">
        <v>720</v>
      </c>
      <c r="J30">
        <v>1100</v>
      </c>
    </row>
    <row r="31" spans="1:10" x14ac:dyDescent="0.2">
      <c r="G31" t="s">
        <v>150</v>
      </c>
      <c r="H31">
        <f>AVERAGE(H17:H27)</f>
        <v>265.45454545454544</v>
      </c>
      <c r="J31">
        <f>AVERAGE(J17:J27)</f>
        <v>385</v>
      </c>
    </row>
    <row r="35" spans="1:11" x14ac:dyDescent="0.2">
      <c r="A35" t="s">
        <v>47</v>
      </c>
    </row>
    <row r="36" spans="1:11" x14ac:dyDescent="0.2">
      <c r="G36">
        <v>1994</v>
      </c>
      <c r="H36">
        <v>1995</v>
      </c>
      <c r="I36">
        <v>1996</v>
      </c>
      <c r="J36">
        <v>1997</v>
      </c>
      <c r="K36">
        <v>1998</v>
      </c>
    </row>
    <row r="37" spans="1:11" x14ac:dyDescent="0.2">
      <c r="A37" t="s">
        <v>48</v>
      </c>
      <c r="C37" t="s">
        <v>49</v>
      </c>
      <c r="D37" t="s">
        <v>50</v>
      </c>
      <c r="E37" t="s">
        <v>51</v>
      </c>
      <c r="G37">
        <v>6867</v>
      </c>
      <c r="H37">
        <v>4234</v>
      </c>
      <c r="I37">
        <v>3012</v>
      </c>
      <c r="J37">
        <v>2058</v>
      </c>
      <c r="K37">
        <v>2166</v>
      </c>
    </row>
    <row r="38" spans="1:11" x14ac:dyDescent="0.2">
      <c r="D38" t="s">
        <v>52</v>
      </c>
      <c r="E38" t="s">
        <v>51</v>
      </c>
      <c r="G38">
        <v>59824</v>
      </c>
      <c r="H38">
        <v>48282</v>
      </c>
      <c r="I38">
        <v>42971</v>
      </c>
      <c r="J38">
        <v>41947</v>
      </c>
      <c r="K38">
        <v>37447</v>
      </c>
    </row>
    <row r="40" spans="1:11" x14ac:dyDescent="0.2">
      <c r="A40" t="s">
        <v>53</v>
      </c>
      <c r="D40" t="s">
        <v>50</v>
      </c>
      <c r="G40">
        <v>1708</v>
      </c>
      <c r="H40">
        <v>1618</v>
      </c>
      <c r="I40">
        <v>968</v>
      </c>
      <c r="J40">
        <v>1706</v>
      </c>
      <c r="K40">
        <v>1646</v>
      </c>
    </row>
    <row r="41" spans="1:11" x14ac:dyDescent="0.2">
      <c r="D41" t="s">
        <v>52</v>
      </c>
      <c r="G41">
        <v>6599</v>
      </c>
      <c r="H41">
        <v>6635</v>
      </c>
      <c r="I41">
        <v>3945</v>
      </c>
      <c r="J41">
        <v>6872</v>
      </c>
      <c r="K41">
        <v>6470</v>
      </c>
    </row>
    <row r="43" spans="1:11" x14ac:dyDescent="0.2">
      <c r="A43" t="s">
        <v>54</v>
      </c>
      <c r="D43" t="s">
        <v>50</v>
      </c>
      <c r="G43">
        <v>3493</v>
      </c>
      <c r="H43">
        <v>1880</v>
      </c>
      <c r="I43">
        <v>-1374</v>
      </c>
      <c r="J43">
        <v>-309</v>
      </c>
      <c r="K43">
        <v>557</v>
      </c>
    </row>
    <row r="44" spans="1:11" x14ac:dyDescent="0.2">
      <c r="D44" t="s">
        <v>52</v>
      </c>
      <c r="G44">
        <v>30167</v>
      </c>
      <c r="H44">
        <v>13708</v>
      </c>
      <c r="I44">
        <v>-4261</v>
      </c>
      <c r="J44" t="s">
        <v>74</v>
      </c>
      <c r="K44">
        <v>21774</v>
      </c>
    </row>
    <row r="46" spans="1:11" x14ac:dyDescent="0.2">
      <c r="A46" t="s">
        <v>61</v>
      </c>
      <c r="D46" t="s">
        <v>55</v>
      </c>
      <c r="G46">
        <v>12703</v>
      </c>
      <c r="H46">
        <v>7737</v>
      </c>
      <c r="I46">
        <v>2631</v>
      </c>
      <c r="J46">
        <v>1882</v>
      </c>
      <c r="K46">
        <v>2341</v>
      </c>
    </row>
    <row r="47" spans="1:11" x14ac:dyDescent="0.2">
      <c r="D47" t="s">
        <v>52</v>
      </c>
      <c r="G47">
        <v>97250</v>
      </c>
      <c r="H47">
        <v>69286</v>
      </c>
      <c r="I47">
        <v>43315</v>
      </c>
      <c r="J47">
        <v>32642</v>
      </c>
      <c r="K47">
        <v>55224</v>
      </c>
    </row>
    <row r="49" spans="1:11" x14ac:dyDescent="0.2">
      <c r="A49" t="s">
        <v>56</v>
      </c>
      <c r="D49" t="s">
        <v>50</v>
      </c>
      <c r="J49">
        <v>1580</v>
      </c>
      <c r="K49">
        <v>2033</v>
      </c>
    </row>
    <row r="50" spans="1:11" x14ac:dyDescent="0.2">
      <c r="D50" t="s">
        <v>52</v>
      </c>
      <c r="J50">
        <v>13658</v>
      </c>
      <c r="K50">
        <v>11127</v>
      </c>
    </row>
    <row r="52" spans="1:11" x14ac:dyDescent="0.2">
      <c r="A52" t="s">
        <v>57</v>
      </c>
      <c r="D52" t="s">
        <v>58</v>
      </c>
      <c r="E52" t="s">
        <v>60</v>
      </c>
      <c r="G52">
        <v>17405</v>
      </c>
      <c r="H52">
        <v>13322</v>
      </c>
      <c r="I52">
        <v>7565</v>
      </c>
      <c r="J52">
        <v>8021</v>
      </c>
      <c r="K52">
        <v>16006</v>
      </c>
    </row>
    <row r="53" spans="1:11" x14ac:dyDescent="0.2">
      <c r="D53" t="s">
        <v>59</v>
      </c>
      <c r="G53">
        <v>18270</v>
      </c>
      <c r="H53">
        <v>14871</v>
      </c>
      <c r="I53">
        <v>8894</v>
      </c>
      <c r="J53">
        <v>8908</v>
      </c>
      <c r="K53">
        <v>17711</v>
      </c>
    </row>
    <row r="55" spans="1:11" x14ac:dyDescent="0.2">
      <c r="A55" t="s">
        <v>64</v>
      </c>
      <c r="E55" t="s">
        <v>65</v>
      </c>
      <c r="G55">
        <v>4.6100000000000003</v>
      </c>
      <c r="H55">
        <v>5.67</v>
      </c>
      <c r="I55">
        <v>9.48</v>
      </c>
      <c r="J55">
        <v>9.4600000000000009</v>
      </c>
      <c r="K55">
        <v>4.7</v>
      </c>
    </row>
    <row r="57" spans="1:11" x14ac:dyDescent="0.2">
      <c r="A57" t="s">
        <v>62</v>
      </c>
      <c r="D57" t="s">
        <v>50</v>
      </c>
      <c r="E57" t="s">
        <v>51</v>
      </c>
      <c r="G57">
        <v>3590</v>
      </c>
      <c r="H57">
        <v>3148</v>
      </c>
      <c r="I57">
        <v>2656</v>
      </c>
      <c r="J57">
        <v>1709</v>
      </c>
      <c r="K57">
        <v>1918</v>
      </c>
    </row>
    <row r="58" spans="1:11" x14ac:dyDescent="0.2">
      <c r="D58" t="s">
        <v>52</v>
      </c>
      <c r="G58">
        <v>74500</v>
      </c>
      <c r="H58">
        <v>57173</v>
      </c>
      <c r="I58">
        <v>33396</v>
      </c>
      <c r="J58">
        <v>27637</v>
      </c>
      <c r="K58">
        <v>54081</v>
      </c>
    </row>
    <row r="60" spans="1:11" x14ac:dyDescent="0.2">
      <c r="A60" t="s">
        <v>63</v>
      </c>
      <c r="D60" t="s">
        <v>50</v>
      </c>
      <c r="E60" t="s">
        <v>51</v>
      </c>
      <c r="G60">
        <v>8976</v>
      </c>
      <c r="H60">
        <v>4592</v>
      </c>
      <c r="I60">
        <v>-22</v>
      </c>
      <c r="J60">
        <v>176</v>
      </c>
      <c r="K60">
        <v>428</v>
      </c>
    </row>
    <row r="61" spans="1:11" x14ac:dyDescent="0.2">
      <c r="D61" t="s">
        <v>52</v>
      </c>
      <c r="G61">
        <v>23383</v>
      </c>
      <c r="H61">
        <v>12607</v>
      </c>
      <c r="I61">
        <v>7113</v>
      </c>
      <c r="J61">
        <v>5500</v>
      </c>
      <c r="K61">
        <v>1803</v>
      </c>
    </row>
    <row r="63" spans="1:11" x14ac:dyDescent="0.2">
      <c r="A63" t="s">
        <v>63</v>
      </c>
      <c r="D63" t="s">
        <v>50</v>
      </c>
      <c r="E63" t="s">
        <v>72</v>
      </c>
      <c r="G63">
        <v>24.2</v>
      </c>
      <c r="H63">
        <v>13.91</v>
      </c>
      <c r="I63">
        <v>-7.0000000000000007E-2</v>
      </c>
      <c r="J63">
        <v>0.5</v>
      </c>
      <c r="K63">
        <v>1.2969999999999999</v>
      </c>
    </row>
    <row r="64" spans="1:11" x14ac:dyDescent="0.2">
      <c r="D64" t="s">
        <v>52</v>
      </c>
      <c r="G64">
        <v>70.900000000000006</v>
      </c>
      <c r="H64">
        <v>38.200000000000003</v>
      </c>
      <c r="I64">
        <v>21.5</v>
      </c>
      <c r="J64">
        <v>16.600000000000001</v>
      </c>
      <c r="K64">
        <v>5.46</v>
      </c>
    </row>
    <row r="66" spans="1:32" x14ac:dyDescent="0.2">
      <c r="A66" t="s">
        <v>66</v>
      </c>
      <c r="D66" t="s">
        <v>50</v>
      </c>
      <c r="E66" t="s">
        <v>67</v>
      </c>
      <c r="G66">
        <v>71.400000000000006</v>
      </c>
      <c r="H66">
        <v>59.3</v>
      </c>
      <c r="I66">
        <v>-0.8</v>
      </c>
      <c r="J66">
        <v>9.3000000000000007</v>
      </c>
      <c r="K66">
        <v>18.3</v>
      </c>
    </row>
    <row r="67" spans="1:32" x14ac:dyDescent="0.2">
      <c r="D67" t="s">
        <v>52</v>
      </c>
      <c r="G67">
        <v>23.89</v>
      </c>
      <c r="H67">
        <v>18.100000000000001</v>
      </c>
      <c r="I67">
        <v>16.239999999999998</v>
      </c>
      <c r="J67">
        <v>16.600000000000001</v>
      </c>
      <c r="K67">
        <v>3.2</v>
      </c>
    </row>
    <row r="69" spans="1:32" x14ac:dyDescent="0.2">
      <c r="A69" t="s">
        <v>68</v>
      </c>
      <c r="D69" t="s">
        <v>50</v>
      </c>
      <c r="E69" t="s">
        <v>72</v>
      </c>
      <c r="J69">
        <v>8.7799999999999994</v>
      </c>
      <c r="K69">
        <v>11.29</v>
      </c>
    </row>
    <row r="70" spans="1:32" x14ac:dyDescent="0.2">
      <c r="D70" t="s">
        <v>52</v>
      </c>
      <c r="J70">
        <v>75.88</v>
      </c>
      <c r="K70">
        <v>61.8</v>
      </c>
    </row>
    <row r="72" spans="1:32" x14ac:dyDescent="0.2">
      <c r="A72" t="s">
        <v>69</v>
      </c>
      <c r="D72" t="s">
        <v>50</v>
      </c>
      <c r="E72" t="s">
        <v>75</v>
      </c>
      <c r="J72">
        <v>42</v>
      </c>
      <c r="K72">
        <v>52.8</v>
      </c>
    </row>
    <row r="73" spans="1:32" x14ac:dyDescent="0.2">
      <c r="D73" t="s">
        <v>52</v>
      </c>
      <c r="J73">
        <v>35</v>
      </c>
      <c r="K73">
        <v>25.3</v>
      </c>
    </row>
    <row r="75" spans="1:32" x14ac:dyDescent="0.2">
      <c r="A75" t="s">
        <v>70</v>
      </c>
      <c r="B75" t="s">
        <v>71</v>
      </c>
      <c r="D75" t="s">
        <v>50</v>
      </c>
      <c r="E75" t="s">
        <v>72</v>
      </c>
      <c r="G75">
        <v>36.58</v>
      </c>
      <c r="H75">
        <v>23.44</v>
      </c>
      <c r="I75">
        <v>7.97</v>
      </c>
      <c r="J75">
        <v>5.7</v>
      </c>
      <c r="K75">
        <v>7.09</v>
      </c>
    </row>
    <row r="76" spans="1:32" x14ac:dyDescent="0.2">
      <c r="D76" t="s">
        <v>52</v>
      </c>
      <c r="G76">
        <v>294.7</v>
      </c>
      <c r="H76">
        <v>209.9</v>
      </c>
      <c r="I76">
        <v>130.94999999999999</v>
      </c>
      <c r="J76">
        <v>98.92</v>
      </c>
      <c r="K76">
        <v>167.3</v>
      </c>
    </row>
    <row r="78" spans="1:32" x14ac:dyDescent="0.2">
      <c r="A78" t="s">
        <v>70</v>
      </c>
      <c r="B78" t="s">
        <v>73</v>
      </c>
      <c r="D78" t="s">
        <v>50</v>
      </c>
      <c r="E78" t="s">
        <v>72</v>
      </c>
      <c r="J78">
        <v>20.9</v>
      </c>
      <c r="K78">
        <v>21.4</v>
      </c>
      <c r="O78">
        <v>1889</v>
      </c>
      <c r="P78" t="s">
        <v>81</v>
      </c>
      <c r="Q78">
        <v>1991</v>
      </c>
      <c r="S78">
        <v>1993</v>
      </c>
      <c r="U78">
        <v>1995</v>
      </c>
      <c r="W78">
        <v>1997</v>
      </c>
      <c r="Y78">
        <v>1999</v>
      </c>
      <c r="AA78">
        <v>2001</v>
      </c>
      <c r="AC78">
        <v>2003</v>
      </c>
      <c r="AD78">
        <v>2004</v>
      </c>
      <c r="AE78" t="s">
        <v>85</v>
      </c>
      <c r="AF78" t="s">
        <v>86</v>
      </c>
    </row>
    <row r="79" spans="1:32" x14ac:dyDescent="0.2">
      <c r="D79" t="s">
        <v>52</v>
      </c>
      <c r="J79">
        <v>216.8</v>
      </c>
      <c r="K79">
        <v>244.3</v>
      </c>
      <c r="O79">
        <v>27.1</v>
      </c>
      <c r="P79">
        <v>22.8</v>
      </c>
      <c r="Q79">
        <v>23.6</v>
      </c>
      <c r="R79">
        <v>11.6</v>
      </c>
      <c r="S79">
        <v>10.9</v>
      </c>
      <c r="T79">
        <v>11.2</v>
      </c>
      <c r="U79">
        <v>8.6</v>
      </c>
      <c r="V79">
        <v>6.5</v>
      </c>
      <c r="W79">
        <v>6.1</v>
      </c>
      <c r="X79">
        <v>10.5</v>
      </c>
      <c r="Y79">
        <v>10</v>
      </c>
      <c r="Z79">
        <v>8.9</v>
      </c>
      <c r="AA79">
        <v>6.7</v>
      </c>
      <c r="AB79">
        <v>12.5</v>
      </c>
      <c r="AC79">
        <v>8.1</v>
      </c>
      <c r="AD79">
        <v>10</v>
      </c>
    </row>
    <row r="80" spans="1:32" x14ac:dyDescent="0.2">
      <c r="G80" t="s">
        <v>80</v>
      </c>
      <c r="L80" t="s">
        <v>73</v>
      </c>
      <c r="M80" t="s">
        <v>73</v>
      </c>
    </row>
    <row r="81" spans="1:32" x14ac:dyDescent="0.2">
      <c r="A81" t="s">
        <v>76</v>
      </c>
      <c r="B81" t="s">
        <v>78</v>
      </c>
      <c r="G81">
        <v>36.58</v>
      </c>
      <c r="H81">
        <v>23.44</v>
      </c>
      <c r="I81">
        <v>7.97</v>
      </c>
      <c r="J81">
        <v>5.7</v>
      </c>
      <c r="K81">
        <v>7.09</v>
      </c>
      <c r="L81">
        <v>20.9</v>
      </c>
      <c r="M81">
        <v>21.4</v>
      </c>
      <c r="O81">
        <v>0.67749999999999999</v>
      </c>
      <c r="P81">
        <v>0.57000000000000006</v>
      </c>
      <c r="Q81">
        <v>0.59000000000000008</v>
      </c>
      <c r="R81">
        <v>0.28999999999999998</v>
      </c>
      <c r="S81">
        <v>0.27250000000000002</v>
      </c>
      <c r="T81">
        <v>0.27999999999999997</v>
      </c>
      <c r="U81">
        <v>0.215</v>
      </c>
      <c r="V81">
        <v>0.16250000000000001</v>
      </c>
      <c r="W81">
        <v>0.1525</v>
      </c>
      <c r="X81">
        <v>0.26250000000000001</v>
      </c>
      <c r="Y81">
        <v>0.25</v>
      </c>
      <c r="Z81">
        <v>0.2225</v>
      </c>
      <c r="AA81">
        <v>0.16750000000000001</v>
      </c>
      <c r="AB81">
        <v>0.3125</v>
      </c>
      <c r="AC81">
        <v>0.20249999999999999</v>
      </c>
      <c r="AD81">
        <v>0.25</v>
      </c>
    </row>
    <row r="82" spans="1:32" x14ac:dyDescent="0.2">
      <c r="A82" t="s">
        <v>63</v>
      </c>
      <c r="B82" t="s">
        <v>78</v>
      </c>
      <c r="F82" t="s">
        <v>87</v>
      </c>
      <c r="G82">
        <v>24.2</v>
      </c>
      <c r="H82">
        <v>13.91</v>
      </c>
      <c r="I82">
        <v>-7.0000000000000007E-2</v>
      </c>
      <c r="J82">
        <v>-0.5</v>
      </c>
      <c r="K82">
        <v>1.2969999999999999</v>
      </c>
      <c r="L82">
        <v>8.7799999999999994</v>
      </c>
      <c r="M82">
        <v>11.29</v>
      </c>
      <c r="N82" t="s">
        <v>87</v>
      </c>
      <c r="O82">
        <v>0.32750000000000001</v>
      </c>
      <c r="P82">
        <v>0.12</v>
      </c>
      <c r="Q82">
        <v>-3.4999999999999996E-2</v>
      </c>
      <c r="R82">
        <v>-0.20499999999999999</v>
      </c>
      <c r="S82">
        <v>-0.155</v>
      </c>
      <c r="T82">
        <v>-0.50250000000000006</v>
      </c>
      <c r="U82">
        <v>-0.36</v>
      </c>
      <c r="V82">
        <v>8.7499999999999994E-2</v>
      </c>
      <c r="W82">
        <v>2.7500000000000004E-2</v>
      </c>
      <c r="X82">
        <v>-6.5000000000000002E-2</v>
      </c>
      <c r="Y82">
        <v>2.2499999999999999E-2</v>
      </c>
      <c r="Z82">
        <v>-0.14250000000000002</v>
      </c>
      <c r="AA82">
        <v>-0.05</v>
      </c>
      <c r="AB82">
        <v>-0.16750000000000001</v>
      </c>
      <c r="AC82">
        <v>-0.11750000000000001</v>
      </c>
      <c r="AD82">
        <v>1.2500000000000001E-2</v>
      </c>
    </row>
    <row r="83" spans="1:32" x14ac:dyDescent="0.2">
      <c r="A83" t="s">
        <v>64</v>
      </c>
      <c r="B83" t="s">
        <v>65</v>
      </c>
      <c r="G83">
        <v>4.6100000000000003</v>
      </c>
      <c r="H83">
        <v>5.67</v>
      </c>
      <c r="I83">
        <v>9.48</v>
      </c>
      <c r="J83">
        <v>9.4600000000000009</v>
      </c>
      <c r="K83">
        <v>4.7</v>
      </c>
      <c r="L83">
        <v>8.1999999999999993</v>
      </c>
      <c r="M83">
        <v>4.0999999999999996</v>
      </c>
      <c r="N83" t="s">
        <v>21</v>
      </c>
      <c r="O83">
        <v>3.1</v>
      </c>
      <c r="P83">
        <v>2.4390335305719919</v>
      </c>
      <c r="Q83">
        <v>1.6620833333333334</v>
      </c>
      <c r="R83">
        <v>2.5602277432712217</v>
      </c>
      <c r="S83">
        <v>2.8104318181818182</v>
      </c>
      <c r="T83">
        <v>1.3724639289678138</v>
      </c>
      <c r="U83">
        <v>1.5098778998778999</v>
      </c>
      <c r="V83">
        <v>3.5739595375722542</v>
      </c>
      <c r="W83">
        <v>2.944261904761905</v>
      </c>
      <c r="X83">
        <v>1.4565253239104829</v>
      </c>
      <c r="Y83">
        <v>1.6946553378100591</v>
      </c>
      <c r="Z83">
        <v>1.7630310806957514</v>
      </c>
      <c r="AA83">
        <v>2.1283820998278831</v>
      </c>
      <c r="AB83">
        <v>1.345582154515778</v>
      </c>
      <c r="AC83">
        <v>1.9083179012345681</v>
      </c>
      <c r="AD83">
        <v>1.6313852242744065</v>
      </c>
    </row>
    <row r="84" spans="1:32" x14ac:dyDescent="0.2">
      <c r="A84" t="s">
        <v>77</v>
      </c>
      <c r="B84" t="s">
        <v>79</v>
      </c>
      <c r="F84" t="s">
        <v>21</v>
      </c>
      <c r="G84">
        <v>1</v>
      </c>
      <c r="H84">
        <v>2</v>
      </c>
      <c r="I84">
        <v>3</v>
      </c>
      <c r="J84">
        <v>4</v>
      </c>
      <c r="K84">
        <v>5</v>
      </c>
      <c r="L84">
        <v>1</v>
      </c>
      <c r="M84">
        <v>2</v>
      </c>
      <c r="O84">
        <v>150</v>
      </c>
      <c r="P84">
        <v>150</v>
      </c>
      <c r="Q84">
        <v>150</v>
      </c>
      <c r="R84">
        <v>150</v>
      </c>
      <c r="S84">
        <v>150</v>
      </c>
      <c r="T84">
        <v>150</v>
      </c>
      <c r="U84">
        <v>150</v>
      </c>
      <c r="V84">
        <v>150</v>
      </c>
      <c r="W84">
        <v>150</v>
      </c>
      <c r="X84">
        <v>150</v>
      </c>
      <c r="Y84">
        <v>150</v>
      </c>
      <c r="Z84">
        <v>150</v>
      </c>
      <c r="AA84">
        <v>150</v>
      </c>
      <c r="AB84">
        <v>150</v>
      </c>
      <c r="AC84">
        <v>150</v>
      </c>
      <c r="AD84">
        <v>150</v>
      </c>
    </row>
    <row r="86" spans="1:32" x14ac:dyDescent="0.2">
      <c r="A86" t="s">
        <v>76</v>
      </c>
      <c r="B86" t="s">
        <v>82</v>
      </c>
      <c r="G86">
        <v>294.7</v>
      </c>
      <c r="H86">
        <v>209.9</v>
      </c>
      <c r="I86">
        <v>130.94999999999999</v>
      </c>
      <c r="J86">
        <v>98.92</v>
      </c>
      <c r="K86">
        <v>167.3</v>
      </c>
      <c r="L86">
        <v>216.8</v>
      </c>
      <c r="M86">
        <v>244.3</v>
      </c>
      <c r="N86" t="s">
        <v>21</v>
      </c>
      <c r="O86">
        <f>359.2/40</f>
        <v>8.98</v>
      </c>
      <c r="P86">
        <f>425/40</f>
        <v>10.625</v>
      </c>
      <c r="Q86">
        <f>564/40</f>
        <v>14.1</v>
      </c>
      <c r="R86">
        <f>458/40</f>
        <v>11.45</v>
      </c>
      <c r="S86">
        <f>426/40</f>
        <v>10.65</v>
      </c>
      <c r="T86">
        <f>516/40</f>
        <v>12.9</v>
      </c>
      <c r="U86">
        <f>374/40</f>
        <v>9.35</v>
      </c>
      <c r="V86">
        <f>173/40</f>
        <v>4.3250000000000002</v>
      </c>
      <c r="W86">
        <f>176/40</f>
        <v>4.4000000000000004</v>
      </c>
      <c r="X86">
        <f>485/40</f>
        <v>12.125</v>
      </c>
      <c r="Y86">
        <f>361.4/40</f>
        <v>9.0350000000000001</v>
      </c>
      <c r="Z86">
        <f>310.7/40</f>
        <v>7.7675000000000001</v>
      </c>
      <c r="AA86">
        <f>270.7/40</f>
        <v>6.7675000000000001</v>
      </c>
      <c r="AB86">
        <f>401/40</f>
        <v>10.025</v>
      </c>
      <c r="AC86">
        <v>6.125</v>
      </c>
      <c r="AE86">
        <f>AVERAGE(O86:AD86)</f>
        <v>9.2416666666666671</v>
      </c>
      <c r="AF86">
        <f>STDEV(O86:AC86)</f>
        <v>2.9329936051916703</v>
      </c>
    </row>
    <row r="87" spans="1:32" x14ac:dyDescent="0.2">
      <c r="A87" t="s">
        <v>63</v>
      </c>
      <c r="B87" t="s">
        <v>83</v>
      </c>
      <c r="G87">
        <v>70.900000000000006</v>
      </c>
      <c r="H87">
        <v>38.200000000000003</v>
      </c>
      <c r="I87">
        <v>21.5</v>
      </c>
      <c r="J87">
        <v>16.600000000000001</v>
      </c>
      <c r="K87">
        <v>5.46</v>
      </c>
      <c r="L87">
        <v>75.88</v>
      </c>
      <c r="M87">
        <v>61.8</v>
      </c>
      <c r="N87" t="s">
        <v>87</v>
      </c>
      <c r="O87">
        <f>261/40</f>
        <v>6.5250000000000004</v>
      </c>
      <c r="P87">
        <f>315/40</f>
        <v>7.875</v>
      </c>
      <c r="Q87">
        <f>494/40</f>
        <v>12.35</v>
      </c>
      <c r="R87">
        <f>291/40</f>
        <v>7.2750000000000004</v>
      </c>
      <c r="S87">
        <f>280/40</f>
        <v>7</v>
      </c>
      <c r="T87">
        <f>218/40</f>
        <v>5.45</v>
      </c>
      <c r="U87">
        <f>167/40</f>
        <v>4.1749999999999998</v>
      </c>
      <c r="V87">
        <f>152/40</f>
        <v>3.8</v>
      </c>
      <c r="W87">
        <f>131/40</f>
        <v>3.2749999999999999</v>
      </c>
      <c r="X87">
        <f>303/40</f>
        <v>7.5750000000000002</v>
      </c>
      <c r="Y87">
        <f>234/40</f>
        <v>5.85</v>
      </c>
      <c r="Z87">
        <f>126/40</f>
        <v>3.15</v>
      </c>
      <c r="AA87">
        <f>157/40</f>
        <v>3.9249999999999998</v>
      </c>
      <c r="AB87">
        <f>224/40</f>
        <v>5.6</v>
      </c>
      <c r="AC87">
        <v>3.0249999999999999</v>
      </c>
      <c r="AE87">
        <f>AVERAGE(O87:AD87)</f>
        <v>5.79</v>
      </c>
      <c r="AF87">
        <f>STDEV(O87:AC87)</f>
        <v>2.4773041222840844</v>
      </c>
    </row>
    <row r="88" spans="1:32" x14ac:dyDescent="0.2">
      <c r="A88" t="s">
        <v>84</v>
      </c>
      <c r="G88">
        <f>G87/G86*100</f>
        <v>24.058364438411946</v>
      </c>
      <c r="H88">
        <f t="shared" ref="H88:M88" si="0">H87/H86*100</f>
        <v>18.199142448785135</v>
      </c>
      <c r="I88">
        <f t="shared" si="0"/>
        <v>16.418480336006112</v>
      </c>
      <c r="J88">
        <f t="shared" si="0"/>
        <v>16.781237363526085</v>
      </c>
      <c r="K88">
        <f t="shared" si="0"/>
        <v>3.2635983263598325</v>
      </c>
      <c r="L88">
        <f t="shared" si="0"/>
        <v>35</v>
      </c>
      <c r="M88">
        <f t="shared" si="0"/>
        <v>25.296766270978306</v>
      </c>
      <c r="O88">
        <f t="shared" ref="O88:AC88" si="1">O87/O86*100</f>
        <v>72.661469933184847</v>
      </c>
      <c r="P88">
        <f t="shared" si="1"/>
        <v>74.117647058823536</v>
      </c>
      <c r="Q88">
        <f t="shared" si="1"/>
        <v>87.588652482269509</v>
      </c>
      <c r="R88">
        <f t="shared" si="1"/>
        <v>63.537117903930138</v>
      </c>
      <c r="S88">
        <f t="shared" si="1"/>
        <v>65.727699530516432</v>
      </c>
      <c r="T88">
        <f t="shared" si="1"/>
        <v>42.248062015503876</v>
      </c>
      <c r="U88">
        <f t="shared" si="1"/>
        <v>44.652406417112303</v>
      </c>
      <c r="V88">
        <f t="shared" si="1"/>
        <v>87.861271676300561</v>
      </c>
      <c r="W88">
        <f t="shared" si="1"/>
        <v>74.431818181818173</v>
      </c>
      <c r="X88">
        <f t="shared" si="1"/>
        <v>62.47422680412371</v>
      </c>
      <c r="Y88">
        <f t="shared" si="1"/>
        <v>64.748201438848923</v>
      </c>
      <c r="Z88">
        <f t="shared" si="1"/>
        <v>40.55358867074348</v>
      </c>
      <c r="AA88">
        <f t="shared" si="1"/>
        <v>57.997783524196521</v>
      </c>
      <c r="AB88">
        <f t="shared" si="1"/>
        <v>55.86034912718204</v>
      </c>
      <c r="AC88">
        <f t="shared" si="1"/>
        <v>49.387755102040813</v>
      </c>
      <c r="AE88">
        <f>AVERAGE(O88:AD88)</f>
        <v>62.923203324439662</v>
      </c>
      <c r="AF88">
        <f>STDEV(O88:AC88)</f>
        <v>14.913317926615196</v>
      </c>
    </row>
    <row r="92" spans="1:32" x14ac:dyDescent="0.2">
      <c r="A92" t="s">
        <v>21</v>
      </c>
      <c r="B92">
        <v>1</v>
      </c>
      <c r="C92">
        <v>2</v>
      </c>
      <c r="D92">
        <v>3</v>
      </c>
      <c r="E92">
        <v>4</v>
      </c>
      <c r="F92">
        <v>5</v>
      </c>
      <c r="G92">
        <v>1</v>
      </c>
      <c r="H92">
        <v>2</v>
      </c>
    </row>
    <row r="93" spans="1:32" x14ac:dyDescent="0.2">
      <c r="A93" t="s">
        <v>87</v>
      </c>
      <c r="B93">
        <v>24.2</v>
      </c>
      <c r="C93">
        <v>13.91</v>
      </c>
      <c r="D93">
        <v>-7.0000000000000007E-2</v>
      </c>
      <c r="E93">
        <v>-0.5</v>
      </c>
      <c r="F93">
        <v>1.2969999999999999</v>
      </c>
      <c r="G93">
        <v>8.7799999999999994</v>
      </c>
      <c r="H93">
        <v>11.29</v>
      </c>
    </row>
    <row r="105" spans="25:25" x14ac:dyDescent="0.2">
      <c r="Y105">
        <v>6</v>
      </c>
    </row>
    <row r="113" spans="1:17" x14ac:dyDescent="0.2">
      <c r="A113" t="s">
        <v>21</v>
      </c>
      <c r="B113">
        <v>3.1</v>
      </c>
      <c r="C113">
        <v>2.4390335305719919</v>
      </c>
      <c r="D113">
        <v>1.6620833333333334</v>
      </c>
      <c r="E113">
        <v>2.5602277432712217</v>
      </c>
      <c r="F113">
        <v>2.8104318181818182</v>
      </c>
      <c r="G113">
        <v>1.3724639289678138</v>
      </c>
      <c r="H113">
        <v>1.5098778998778999</v>
      </c>
      <c r="I113">
        <v>3.5739595375722542</v>
      </c>
      <c r="J113">
        <v>2.944261904761905</v>
      </c>
      <c r="K113">
        <v>1.4565253239104829</v>
      </c>
      <c r="L113">
        <v>1.6946553378100591</v>
      </c>
      <c r="M113">
        <v>1.7630310806957514</v>
      </c>
      <c r="N113">
        <v>2.1283820998278831</v>
      </c>
      <c r="O113">
        <v>1.345582154515778</v>
      </c>
      <c r="P113">
        <v>1.9083179012345681</v>
      </c>
      <c r="Q113">
        <v>1.6313852242744065</v>
      </c>
    </row>
    <row r="114" spans="1:17" x14ac:dyDescent="0.2">
      <c r="A114" t="s">
        <v>87</v>
      </c>
      <c r="B114">
        <v>0.32750000000000001</v>
      </c>
      <c r="C114">
        <v>0.12</v>
      </c>
      <c r="D114">
        <v>-3.4999999999999996E-2</v>
      </c>
      <c r="E114">
        <v>-0.20499999999999999</v>
      </c>
      <c r="F114">
        <v>-0.155</v>
      </c>
      <c r="G114">
        <v>-0.50250000000000006</v>
      </c>
      <c r="H114">
        <v>-0.36</v>
      </c>
      <c r="I114">
        <v>8.7499999999999994E-2</v>
      </c>
      <c r="J114">
        <v>2.7500000000000004E-2</v>
      </c>
      <c r="K114">
        <v>-6.5000000000000002E-2</v>
      </c>
      <c r="L114">
        <v>2.2499999999999999E-2</v>
      </c>
      <c r="M114">
        <v>-0.14250000000000002</v>
      </c>
      <c r="N114">
        <v>-0.05</v>
      </c>
      <c r="O114">
        <v>-0.16750000000000001</v>
      </c>
      <c r="P114">
        <v>-0.11750000000000001</v>
      </c>
      <c r="Q114">
        <v>1.2500000000000001E-2</v>
      </c>
    </row>
    <row r="133" spans="1:31" x14ac:dyDescent="0.2">
      <c r="B133" t="s">
        <v>81</v>
      </c>
      <c r="F133">
        <v>1989</v>
      </c>
      <c r="G133">
        <v>2</v>
      </c>
      <c r="U133">
        <v>2004</v>
      </c>
      <c r="W133">
        <v>2015</v>
      </c>
      <c r="X133">
        <v>2016</v>
      </c>
      <c r="Y133">
        <v>2017</v>
      </c>
      <c r="Z133">
        <v>2018</v>
      </c>
      <c r="AA133">
        <v>2019</v>
      </c>
      <c r="AB133">
        <v>2020</v>
      </c>
      <c r="AC133">
        <v>2021</v>
      </c>
      <c r="AD133">
        <v>2022</v>
      </c>
      <c r="AE133">
        <v>2023</v>
      </c>
    </row>
    <row r="134" spans="1:31" x14ac:dyDescent="0.2">
      <c r="B134">
        <v>1976</v>
      </c>
      <c r="D134" t="s">
        <v>92</v>
      </c>
      <c r="E134" t="s">
        <v>21</v>
      </c>
      <c r="F134">
        <v>1</v>
      </c>
      <c r="G134">
        <v>2</v>
      </c>
      <c r="H134">
        <v>3</v>
      </c>
      <c r="I134">
        <v>4</v>
      </c>
      <c r="J134">
        <v>5</v>
      </c>
      <c r="K134">
        <v>6</v>
      </c>
      <c r="L134">
        <v>7</v>
      </c>
      <c r="M134">
        <v>8</v>
      </c>
      <c r="N134">
        <v>9</v>
      </c>
      <c r="O134">
        <v>10</v>
      </c>
      <c r="P134">
        <v>11</v>
      </c>
      <c r="Q134">
        <v>12</v>
      </c>
      <c r="R134">
        <v>13</v>
      </c>
      <c r="S134">
        <v>14</v>
      </c>
      <c r="T134">
        <v>15</v>
      </c>
      <c r="U134">
        <v>16</v>
      </c>
    </row>
    <row r="135" spans="1:31" x14ac:dyDescent="0.2">
      <c r="B135">
        <v>90.4</v>
      </c>
      <c r="C135" t="s">
        <v>88</v>
      </c>
      <c r="D135" t="s">
        <v>89</v>
      </c>
      <c r="E135" t="s">
        <v>87</v>
      </c>
      <c r="F135">
        <v>30</v>
      </c>
      <c r="G135">
        <v>25.7</v>
      </c>
      <c r="H135">
        <v>16.7</v>
      </c>
      <c r="I135">
        <v>13.8</v>
      </c>
      <c r="J135">
        <v>11.6</v>
      </c>
      <c r="K135">
        <v>12.7</v>
      </c>
      <c r="L135">
        <v>8.3000000000000007</v>
      </c>
      <c r="M135">
        <v>5.5</v>
      </c>
      <c r="N135">
        <v>5.7</v>
      </c>
      <c r="O135">
        <v>6</v>
      </c>
      <c r="P135">
        <v>5.6</v>
      </c>
      <c r="Q135">
        <v>4.9000000000000004</v>
      </c>
      <c r="R135">
        <v>4.3</v>
      </c>
      <c r="S135">
        <v>6.6</v>
      </c>
      <c r="T135">
        <v>4.5</v>
      </c>
      <c r="U135">
        <v>4.5</v>
      </c>
      <c r="W135">
        <v>2.2090000000000001</v>
      </c>
      <c r="X135">
        <v>1.865</v>
      </c>
      <c r="Y135">
        <v>1.774</v>
      </c>
      <c r="Z135">
        <v>2.4889999999999999</v>
      </c>
      <c r="AA135">
        <v>5.8849999999999998</v>
      </c>
      <c r="AB135">
        <v>1.4419999999999999</v>
      </c>
      <c r="AC135">
        <v>1.4059999999999999</v>
      </c>
      <c r="AD135">
        <v>1.4410000000000001</v>
      </c>
      <c r="AE135">
        <v>1.4610000000000001</v>
      </c>
    </row>
    <row r="136" spans="1:31" x14ac:dyDescent="0.2">
      <c r="C136" t="s">
        <v>90</v>
      </c>
      <c r="D136" t="s">
        <v>89</v>
      </c>
      <c r="E136" t="s">
        <v>87</v>
      </c>
      <c r="F136">
        <v>27.1</v>
      </c>
      <c r="G136">
        <v>27.8</v>
      </c>
      <c r="H136">
        <v>23.6</v>
      </c>
      <c r="I136">
        <v>11.6</v>
      </c>
      <c r="J136">
        <v>10.9</v>
      </c>
      <c r="K136">
        <v>11.2</v>
      </c>
      <c r="L136">
        <v>8.5</v>
      </c>
      <c r="M136">
        <v>6.5</v>
      </c>
      <c r="N136">
        <v>6.1</v>
      </c>
      <c r="O136">
        <v>10.5</v>
      </c>
      <c r="P136">
        <v>10</v>
      </c>
      <c r="Q136">
        <v>8.9</v>
      </c>
      <c r="R136">
        <v>6.7</v>
      </c>
      <c r="S136">
        <v>12.5</v>
      </c>
      <c r="T136">
        <v>8.1</v>
      </c>
      <c r="U136">
        <v>10</v>
      </c>
    </row>
    <row r="137" spans="1:31" x14ac:dyDescent="0.2">
      <c r="B137">
        <v>263</v>
      </c>
      <c r="C137" t="s">
        <v>88</v>
      </c>
      <c r="D137" t="s">
        <v>91</v>
      </c>
      <c r="F137">
        <v>168</v>
      </c>
      <c r="G137">
        <v>182</v>
      </c>
      <c r="H137">
        <v>149</v>
      </c>
      <c r="I137">
        <v>131</v>
      </c>
      <c r="J137">
        <v>97</v>
      </c>
      <c r="K137">
        <v>82.5</v>
      </c>
      <c r="L137">
        <v>63.3</v>
      </c>
      <c r="M137">
        <v>51.5</v>
      </c>
      <c r="N137">
        <v>49.2</v>
      </c>
      <c r="O137">
        <v>50.8</v>
      </c>
      <c r="P137">
        <v>57.1</v>
      </c>
      <c r="Q137">
        <v>42.1</v>
      </c>
      <c r="R137">
        <v>48.3</v>
      </c>
      <c r="S137">
        <v>58.3</v>
      </c>
      <c r="T137">
        <v>42.4</v>
      </c>
      <c r="Z137">
        <v>47.627000000000002</v>
      </c>
      <c r="AA137">
        <v>36.281999999999996</v>
      </c>
      <c r="AB137">
        <v>27.256</v>
      </c>
      <c r="AC137">
        <v>20.631</v>
      </c>
      <c r="AD137">
        <v>21.111999999999998</v>
      </c>
      <c r="AE137">
        <v>22.780999999999999</v>
      </c>
    </row>
    <row r="138" spans="1:31" x14ac:dyDescent="0.2">
      <c r="C138" t="s">
        <v>90</v>
      </c>
      <c r="D138" t="s">
        <v>91</v>
      </c>
      <c r="F138">
        <v>359.2</v>
      </c>
      <c r="G138">
        <v>425.2</v>
      </c>
      <c r="H138">
        <v>564</v>
      </c>
      <c r="I138">
        <v>468</v>
      </c>
      <c r="J138">
        <v>426</v>
      </c>
      <c r="K138">
        <v>516</v>
      </c>
      <c r="L138">
        <v>374</v>
      </c>
      <c r="M138">
        <v>173</v>
      </c>
      <c r="N138">
        <v>176</v>
      </c>
      <c r="O138">
        <v>485</v>
      </c>
      <c r="P138">
        <v>261</v>
      </c>
      <c r="Q138">
        <v>311</v>
      </c>
      <c r="R138">
        <v>271</v>
      </c>
      <c r="S138">
        <v>401</v>
      </c>
      <c r="T138">
        <v>246</v>
      </c>
    </row>
    <row r="141" spans="1:31" x14ac:dyDescent="0.2">
      <c r="A141" t="s">
        <v>165</v>
      </c>
      <c r="B141">
        <v>1976</v>
      </c>
      <c r="C141" t="s">
        <v>166</v>
      </c>
      <c r="D141" t="s">
        <v>75</v>
      </c>
    </row>
    <row r="142" spans="1:31" x14ac:dyDescent="0.2">
      <c r="A142" t="s">
        <v>50</v>
      </c>
      <c r="B142">
        <v>49.5</v>
      </c>
      <c r="C142">
        <v>1</v>
      </c>
      <c r="D142">
        <v>2</v>
      </c>
    </row>
    <row r="143" spans="1:31" x14ac:dyDescent="0.2">
      <c r="A143" t="s">
        <v>52</v>
      </c>
      <c r="B143">
        <v>140</v>
      </c>
      <c r="C143">
        <v>15</v>
      </c>
      <c r="D143">
        <v>10</v>
      </c>
    </row>
    <row r="145" spans="1:19" x14ac:dyDescent="0.2">
      <c r="A145" t="s">
        <v>167</v>
      </c>
      <c r="E145" t="s">
        <v>168</v>
      </c>
    </row>
    <row r="146" spans="1:19" x14ac:dyDescent="0.2">
      <c r="B146">
        <v>1976</v>
      </c>
      <c r="C146" t="s">
        <v>169</v>
      </c>
      <c r="D146" t="s">
        <v>75</v>
      </c>
    </row>
    <row r="147" spans="1:19" x14ac:dyDescent="0.2">
      <c r="A147" t="s">
        <v>50</v>
      </c>
      <c r="B147">
        <v>85</v>
      </c>
      <c r="C147">
        <v>1.5</v>
      </c>
      <c r="D147">
        <f>C147*100/B147</f>
        <v>1.7647058823529411</v>
      </c>
    </row>
    <row r="148" spans="1:19" x14ac:dyDescent="0.2">
      <c r="A148" t="s">
        <v>52</v>
      </c>
      <c r="B148">
        <v>236</v>
      </c>
      <c r="C148">
        <v>23</v>
      </c>
      <c r="D148">
        <f>C148*100/B148</f>
        <v>9.7457627118644066</v>
      </c>
    </row>
    <row r="155" spans="1:19" x14ac:dyDescent="0.2">
      <c r="D155">
        <v>1989</v>
      </c>
    </row>
    <row r="156" spans="1:19" x14ac:dyDescent="0.2">
      <c r="B156" t="s">
        <v>92</v>
      </c>
      <c r="C156" t="s">
        <v>21</v>
      </c>
      <c r="D156">
        <v>1</v>
      </c>
      <c r="E156">
        <v>2</v>
      </c>
      <c r="F156">
        <v>3</v>
      </c>
      <c r="G156">
        <v>4</v>
      </c>
      <c r="H156">
        <v>5</v>
      </c>
      <c r="I156">
        <v>6</v>
      </c>
      <c r="J156">
        <v>7</v>
      </c>
      <c r="K156">
        <v>8</v>
      </c>
      <c r="L156">
        <v>9</v>
      </c>
      <c r="M156">
        <v>10</v>
      </c>
      <c r="N156">
        <v>11</v>
      </c>
      <c r="O156">
        <v>12</v>
      </c>
      <c r="P156">
        <v>13</v>
      </c>
      <c r="Q156">
        <v>14</v>
      </c>
      <c r="R156">
        <v>15</v>
      </c>
      <c r="S156">
        <v>16</v>
      </c>
    </row>
    <row r="159" spans="1:19" x14ac:dyDescent="0.2">
      <c r="A159" t="s">
        <v>88</v>
      </c>
      <c r="B159" t="s">
        <v>91</v>
      </c>
      <c r="C159" t="s">
        <v>87</v>
      </c>
      <c r="D159">
        <v>168</v>
      </c>
      <c r="E159">
        <v>182</v>
      </c>
      <c r="F159">
        <v>149</v>
      </c>
      <c r="G159">
        <v>131</v>
      </c>
      <c r="H159">
        <v>97</v>
      </c>
      <c r="I159">
        <v>82.5</v>
      </c>
      <c r="J159">
        <v>63.3</v>
      </c>
      <c r="K159">
        <v>51.5</v>
      </c>
      <c r="L159">
        <v>49.2</v>
      </c>
      <c r="M159">
        <v>50.8</v>
      </c>
      <c r="N159">
        <v>57.1</v>
      </c>
      <c r="O159">
        <v>42.1</v>
      </c>
      <c r="P159">
        <v>48.3</v>
      </c>
      <c r="Q159">
        <v>58.3</v>
      </c>
      <c r="R159">
        <v>42.4</v>
      </c>
    </row>
    <row r="160" spans="1:19" x14ac:dyDescent="0.2">
      <c r="A160" t="s">
        <v>90</v>
      </c>
      <c r="B160" t="s">
        <v>91</v>
      </c>
      <c r="C160" t="s">
        <v>87</v>
      </c>
      <c r="D160">
        <v>359.2</v>
      </c>
      <c r="E160">
        <v>425.2</v>
      </c>
      <c r="F160">
        <v>564</v>
      </c>
      <c r="G160">
        <v>468</v>
      </c>
      <c r="H160">
        <v>426</v>
      </c>
      <c r="I160">
        <v>516</v>
      </c>
      <c r="J160">
        <v>374</v>
      </c>
      <c r="K160">
        <v>173</v>
      </c>
      <c r="L160">
        <v>176</v>
      </c>
      <c r="M160">
        <v>485</v>
      </c>
      <c r="N160">
        <v>261</v>
      </c>
      <c r="O160">
        <v>311</v>
      </c>
      <c r="P160">
        <v>271</v>
      </c>
      <c r="Q160">
        <v>401</v>
      </c>
      <c r="R160">
        <v>246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219"/>
  <sheetViews>
    <sheetView topLeftCell="A234" workbookViewId="0">
      <selection activeCell="A255" sqref="A255"/>
    </sheetView>
  </sheetViews>
  <sheetFormatPr baseColWidth="10" defaultColWidth="8.83203125" defaultRowHeight="15" x14ac:dyDescent="0.2"/>
  <sheetData>
    <row r="1" spans="1:21" x14ac:dyDescent="0.2">
      <c r="A1" t="s">
        <v>93</v>
      </c>
    </row>
    <row r="2" spans="1:21" x14ac:dyDescent="0.2">
      <c r="E2" t="s">
        <v>50</v>
      </c>
      <c r="F2" t="s">
        <v>52</v>
      </c>
      <c r="G2" t="s">
        <v>50</v>
      </c>
      <c r="H2" t="s">
        <v>52</v>
      </c>
      <c r="I2" t="s">
        <v>50</v>
      </c>
      <c r="J2" t="s">
        <v>52</v>
      </c>
    </row>
    <row r="3" spans="1:21" x14ac:dyDescent="0.2"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102</v>
      </c>
      <c r="I3" t="s">
        <v>103</v>
      </c>
      <c r="J3" t="s">
        <v>103</v>
      </c>
      <c r="K3" t="s">
        <v>108</v>
      </c>
      <c r="L3" t="s">
        <v>109</v>
      </c>
      <c r="M3" t="s">
        <v>110</v>
      </c>
    </row>
    <row r="4" spans="1:21" x14ac:dyDescent="0.2">
      <c r="A4" t="s">
        <v>94</v>
      </c>
      <c r="B4" t="s">
        <v>95</v>
      </c>
      <c r="C4">
        <v>2.9</v>
      </c>
      <c r="D4">
        <v>44.5</v>
      </c>
      <c r="E4">
        <v>2.56</v>
      </c>
      <c r="F4">
        <v>21.1</v>
      </c>
      <c r="G4">
        <f>1.1*C4*E4/100</f>
        <v>8.1664E-2</v>
      </c>
      <c r="H4">
        <f>G4*F4/E4</f>
        <v>0.67309000000000008</v>
      </c>
      <c r="I4">
        <f>G4*2</f>
        <v>0.163328</v>
      </c>
      <c r="J4">
        <f>I4*F4/E4</f>
        <v>1.3461800000000002</v>
      </c>
      <c r="K4">
        <f>D4*10*0.46/F4</f>
        <v>9.7014218009478679</v>
      </c>
      <c r="L4">
        <f>F4/E4</f>
        <v>8.2421875</v>
      </c>
      <c r="M4">
        <f>D4*10*0.46/E4</f>
        <v>79.9609375</v>
      </c>
      <c r="O4">
        <f>1.1*C4*E4/100</f>
        <v>8.1664E-2</v>
      </c>
    </row>
    <row r="5" spans="1:21" x14ac:dyDescent="0.2">
      <c r="B5" s="1" t="s">
        <v>96</v>
      </c>
      <c r="C5">
        <v>4.2</v>
      </c>
      <c r="D5">
        <v>43.8</v>
      </c>
      <c r="E5">
        <v>2.52</v>
      </c>
      <c r="F5">
        <v>21.4</v>
      </c>
      <c r="G5">
        <f t="shared" ref="G5:G16" si="0">1.1*C5*E5/100</f>
        <v>0.11642400000000003</v>
      </c>
      <c r="H5">
        <f t="shared" ref="H5:H16" si="1">G5*F5/E5</f>
        <v>0.98868000000000011</v>
      </c>
      <c r="I5">
        <f>G5*3</f>
        <v>0.34927200000000008</v>
      </c>
      <c r="J5">
        <f t="shared" ref="J5:J16" si="2">I5*F5/E5</f>
        <v>2.9660400000000005</v>
      </c>
      <c r="K5">
        <f t="shared" ref="K5:K16" si="3">D5*10*0.46/F5</f>
        <v>9.4149532710280397</v>
      </c>
      <c r="L5">
        <f t="shared" ref="L5:L16" si="4">F5/E5</f>
        <v>8.4920634920634921</v>
      </c>
      <c r="M5">
        <f t="shared" ref="M5:M16" si="5">D5*10*0.46/E5</f>
        <v>79.952380952380963</v>
      </c>
    </row>
    <row r="6" spans="1:21" x14ac:dyDescent="0.2">
      <c r="B6" t="s">
        <v>97</v>
      </c>
      <c r="C6">
        <v>4.9000000000000004</v>
      </c>
      <c r="D6">
        <v>43.7</v>
      </c>
      <c r="E6">
        <v>2.33</v>
      </c>
      <c r="F6">
        <v>21.9</v>
      </c>
      <c r="G6">
        <f t="shared" si="0"/>
        <v>0.125587</v>
      </c>
      <c r="H6">
        <f t="shared" si="1"/>
        <v>1.18041</v>
      </c>
      <c r="I6">
        <f>G6*5</f>
        <v>0.62793500000000002</v>
      </c>
      <c r="J6">
        <f t="shared" si="2"/>
        <v>5.90205</v>
      </c>
      <c r="K6">
        <f t="shared" si="3"/>
        <v>9.1789954337899555</v>
      </c>
      <c r="L6">
        <f t="shared" si="4"/>
        <v>9.399141630901287</v>
      </c>
      <c r="M6">
        <f t="shared" si="5"/>
        <v>86.274678111587988</v>
      </c>
    </row>
    <row r="7" spans="1:21" x14ac:dyDescent="0.2">
      <c r="B7" t="s">
        <v>104</v>
      </c>
      <c r="C7">
        <f>(C4*2+C5*3+C6*5)/10</f>
        <v>4.2900000000000009</v>
      </c>
      <c r="D7">
        <f>AVERAGE(D4:D6)</f>
        <v>44</v>
      </c>
      <c r="I7">
        <f>SUM(I4:I6)</f>
        <v>1.1405350000000001</v>
      </c>
      <c r="J7">
        <f>SUM(J4:J6)</f>
        <v>10.214270000000001</v>
      </c>
    </row>
    <row r="9" spans="1:21" x14ac:dyDescent="0.2">
      <c r="A9" t="s">
        <v>105</v>
      </c>
      <c r="B9" t="s">
        <v>95</v>
      </c>
      <c r="C9">
        <v>3.1</v>
      </c>
      <c r="D9">
        <v>43.4</v>
      </c>
      <c r="E9">
        <v>2.6</v>
      </c>
      <c r="F9">
        <v>18.5</v>
      </c>
      <c r="G9">
        <f t="shared" si="0"/>
        <v>8.8660000000000017E-2</v>
      </c>
      <c r="H9">
        <f t="shared" si="1"/>
        <v>0.63085000000000013</v>
      </c>
      <c r="I9">
        <f>G9*2</f>
        <v>0.17732000000000003</v>
      </c>
      <c r="J9">
        <f t="shared" si="2"/>
        <v>1.2617000000000003</v>
      </c>
      <c r="K9">
        <f t="shared" si="3"/>
        <v>10.791351351351352</v>
      </c>
      <c r="L9">
        <f t="shared" si="4"/>
        <v>7.115384615384615</v>
      </c>
      <c r="M9">
        <f t="shared" si="5"/>
        <v>76.784615384615392</v>
      </c>
    </row>
    <row r="10" spans="1:21" x14ac:dyDescent="0.2">
      <c r="B10" s="1" t="s">
        <v>96</v>
      </c>
      <c r="C10">
        <v>4.5</v>
      </c>
      <c r="D10">
        <v>41.8</v>
      </c>
      <c r="E10">
        <v>2.5</v>
      </c>
      <c r="F10">
        <v>19</v>
      </c>
      <c r="G10">
        <f t="shared" si="0"/>
        <v>0.12375</v>
      </c>
      <c r="H10">
        <f t="shared" si="1"/>
        <v>0.94049999999999989</v>
      </c>
      <c r="I10">
        <f>G10*3</f>
        <v>0.37124999999999997</v>
      </c>
      <c r="J10">
        <f t="shared" si="2"/>
        <v>2.8214999999999995</v>
      </c>
      <c r="K10">
        <f t="shared" si="3"/>
        <v>10.119999999999999</v>
      </c>
      <c r="L10">
        <f t="shared" si="4"/>
        <v>7.6</v>
      </c>
      <c r="M10">
        <f t="shared" si="5"/>
        <v>76.912000000000006</v>
      </c>
    </row>
    <row r="11" spans="1:21" x14ac:dyDescent="0.2">
      <c r="B11" t="s">
        <v>97</v>
      </c>
      <c r="C11">
        <v>5.6</v>
      </c>
      <c r="D11">
        <v>38.700000000000003</v>
      </c>
      <c r="E11">
        <v>2.15</v>
      </c>
      <c r="F11">
        <v>17.5</v>
      </c>
      <c r="G11">
        <f t="shared" si="0"/>
        <v>0.13244</v>
      </c>
      <c r="H11">
        <f t="shared" si="1"/>
        <v>1.0780000000000001</v>
      </c>
      <c r="I11">
        <f>G11*5</f>
        <v>0.66220000000000001</v>
      </c>
      <c r="J11">
        <f t="shared" si="2"/>
        <v>5.3900000000000006</v>
      </c>
      <c r="K11">
        <f t="shared" si="3"/>
        <v>10.172571428571429</v>
      </c>
      <c r="L11">
        <f t="shared" si="4"/>
        <v>8.1395348837209305</v>
      </c>
      <c r="M11">
        <f t="shared" si="5"/>
        <v>82.800000000000011</v>
      </c>
      <c r="S11">
        <v>1988</v>
      </c>
      <c r="T11">
        <v>2002</v>
      </c>
      <c r="U11">
        <v>1988</v>
      </c>
    </row>
    <row r="12" spans="1:21" x14ac:dyDescent="0.2">
      <c r="B12" t="s">
        <v>104</v>
      </c>
      <c r="C12">
        <f>(C9*2+C10*3+C11*5)/10</f>
        <v>4.7700000000000005</v>
      </c>
      <c r="D12">
        <f>AVERAGE(D9:D11)</f>
        <v>41.3</v>
      </c>
      <c r="I12">
        <f>SUM(I9:I11)</f>
        <v>1.2107700000000001</v>
      </c>
      <c r="J12">
        <f>SUM(J9:J11)</f>
        <v>9.4732000000000003</v>
      </c>
      <c r="O12">
        <v>1.1399999999999999</v>
      </c>
      <c r="R12" t="s">
        <v>108</v>
      </c>
      <c r="S12" t="s">
        <v>218</v>
      </c>
      <c r="T12" t="s">
        <v>221</v>
      </c>
    </row>
    <row r="13" spans="1:21" x14ac:dyDescent="0.2">
      <c r="O13">
        <v>1.21</v>
      </c>
      <c r="R13" t="s">
        <v>109</v>
      </c>
      <c r="S13" t="s">
        <v>219</v>
      </c>
      <c r="T13" t="s">
        <v>222</v>
      </c>
      <c r="U13" t="s">
        <v>258</v>
      </c>
    </row>
    <row r="14" spans="1:21" x14ac:dyDescent="0.2">
      <c r="A14" t="s">
        <v>106</v>
      </c>
      <c r="B14" t="s">
        <v>95</v>
      </c>
      <c r="C14">
        <v>3.6</v>
      </c>
      <c r="D14">
        <v>38.9</v>
      </c>
      <c r="E14">
        <v>2.29</v>
      </c>
      <c r="F14">
        <v>18.600000000000001</v>
      </c>
      <c r="G14">
        <f t="shared" si="0"/>
        <v>9.0684000000000001E-2</v>
      </c>
      <c r="H14">
        <f t="shared" si="1"/>
        <v>0.73655999999999999</v>
      </c>
      <c r="I14">
        <f>G14*2</f>
        <v>0.181368</v>
      </c>
      <c r="J14">
        <f t="shared" si="2"/>
        <v>1.47312</v>
      </c>
      <c r="K14">
        <f t="shared" si="3"/>
        <v>9.6204301075268805</v>
      </c>
      <c r="L14">
        <f t="shared" si="4"/>
        <v>8.1222707423580793</v>
      </c>
      <c r="M14">
        <f t="shared" si="5"/>
        <v>78.139737991266372</v>
      </c>
      <c r="O14">
        <v>1.343</v>
      </c>
      <c r="R14" t="s">
        <v>110</v>
      </c>
      <c r="S14" t="s">
        <v>220</v>
      </c>
      <c r="T14" t="s">
        <v>223</v>
      </c>
    </row>
    <row r="15" spans="1:21" x14ac:dyDescent="0.2">
      <c r="B15" s="1" t="s">
        <v>96</v>
      </c>
      <c r="C15">
        <v>6.3</v>
      </c>
      <c r="D15">
        <v>33.9</v>
      </c>
      <c r="E15">
        <v>1.99</v>
      </c>
      <c r="F15">
        <v>16.600000000000001</v>
      </c>
      <c r="G15">
        <f t="shared" si="0"/>
        <v>0.137907</v>
      </c>
      <c r="H15">
        <f t="shared" si="1"/>
        <v>1.15038</v>
      </c>
      <c r="I15">
        <f>G15*3</f>
        <v>0.41372100000000001</v>
      </c>
      <c r="J15">
        <f t="shared" si="2"/>
        <v>3.4511400000000005</v>
      </c>
      <c r="K15">
        <f t="shared" si="3"/>
        <v>9.3939759036144572</v>
      </c>
      <c r="L15">
        <f t="shared" si="4"/>
        <v>8.3417085427135689</v>
      </c>
      <c r="M15">
        <f t="shared" si="5"/>
        <v>78.361809045226124</v>
      </c>
      <c r="O15">
        <f>AVERAGE(O12:O14)</f>
        <v>1.2309999999999999</v>
      </c>
    </row>
    <row r="16" spans="1:21" x14ac:dyDescent="0.2">
      <c r="B16" t="s">
        <v>97</v>
      </c>
      <c r="C16">
        <v>10.3</v>
      </c>
      <c r="D16">
        <v>25.7</v>
      </c>
      <c r="E16">
        <v>1.32</v>
      </c>
      <c r="F16">
        <v>13.2</v>
      </c>
      <c r="G16">
        <f t="shared" si="0"/>
        <v>0.14955600000000005</v>
      </c>
      <c r="H16">
        <f t="shared" si="1"/>
        <v>1.4955600000000004</v>
      </c>
      <c r="I16">
        <f>G16*5</f>
        <v>0.74778000000000022</v>
      </c>
      <c r="J16">
        <f t="shared" si="2"/>
        <v>7.4778000000000011</v>
      </c>
      <c r="K16">
        <f t="shared" si="3"/>
        <v>8.9560606060606069</v>
      </c>
      <c r="L16">
        <f t="shared" si="4"/>
        <v>9.9999999999999982</v>
      </c>
      <c r="M16">
        <f t="shared" si="5"/>
        <v>89.560606060606062</v>
      </c>
      <c r="O16">
        <f>STDEV(O12:O14)</f>
        <v>0.10311643903859369</v>
      </c>
    </row>
    <row r="17" spans="1:24" x14ac:dyDescent="0.2">
      <c r="B17" t="s">
        <v>104</v>
      </c>
      <c r="C17">
        <f>(C14*2+C15*3+C16*5)/10</f>
        <v>7.76</v>
      </c>
      <c r="D17">
        <f>AVERAGE(D14:D16)</f>
        <v>32.833333333333336</v>
      </c>
      <c r="I17">
        <f>SUM(I14:I16)</f>
        <v>1.3428690000000003</v>
      </c>
      <c r="J17">
        <f>SUM(J14:J16)</f>
        <v>12.402060000000002</v>
      </c>
      <c r="O17">
        <f>O16/O15</f>
        <v>8.3766400518760109E-2</v>
      </c>
      <c r="S17" t="s">
        <v>108</v>
      </c>
      <c r="U17" t="s">
        <v>109</v>
      </c>
      <c r="W17" t="s">
        <v>110</v>
      </c>
    </row>
    <row r="18" spans="1:24" x14ac:dyDescent="0.2">
      <c r="O18" t="s">
        <v>197</v>
      </c>
      <c r="S18" t="s">
        <v>135</v>
      </c>
      <c r="T18" t="s">
        <v>86</v>
      </c>
      <c r="U18" t="s">
        <v>135</v>
      </c>
      <c r="V18" t="s">
        <v>86</v>
      </c>
      <c r="W18" t="s">
        <v>135</v>
      </c>
      <c r="X18" t="s">
        <v>86</v>
      </c>
    </row>
    <row r="19" spans="1:24" x14ac:dyDescent="0.2">
      <c r="A19" t="s">
        <v>107</v>
      </c>
      <c r="B19" t="s">
        <v>95</v>
      </c>
      <c r="C19">
        <f t="shared" ref="C19:E21" si="6">(C4+C9+C14)/3</f>
        <v>3.1999999999999997</v>
      </c>
      <c r="D19">
        <f t="shared" si="6"/>
        <v>42.266666666666673</v>
      </c>
      <c r="E19">
        <f t="shared" si="6"/>
        <v>2.4833333333333334</v>
      </c>
      <c r="H19">
        <f>(H4+H9+H14)/3</f>
        <v>0.6801666666666667</v>
      </c>
      <c r="I19">
        <f t="shared" ref="I19:J21" si="7">(I4+I9+I14)/3</f>
        <v>0.17400533333333335</v>
      </c>
      <c r="J19">
        <f t="shared" si="7"/>
        <v>1.3603333333333334</v>
      </c>
      <c r="K19">
        <f t="shared" ref="K19:M21" si="8">(K4+K9+K14)/3</f>
        <v>10.037734419942034</v>
      </c>
      <c r="L19">
        <f t="shared" si="8"/>
        <v>7.826614285914232</v>
      </c>
      <c r="M19">
        <f t="shared" si="8"/>
        <v>78.295096958627255</v>
      </c>
      <c r="R19">
        <v>1988</v>
      </c>
      <c r="S19">
        <v>10.037734419942034</v>
      </c>
      <c r="T19">
        <v>0.65</v>
      </c>
      <c r="U19">
        <v>7.826614285914232</v>
      </c>
      <c r="V19">
        <v>0.61799999999999999</v>
      </c>
      <c r="W19">
        <v>78.295096958627255</v>
      </c>
      <c r="X19">
        <v>1.59</v>
      </c>
    </row>
    <row r="20" spans="1:24" x14ac:dyDescent="0.2">
      <c r="B20" s="1" t="s">
        <v>96</v>
      </c>
      <c r="C20">
        <f t="shared" si="6"/>
        <v>5</v>
      </c>
      <c r="D20">
        <f t="shared" si="6"/>
        <v>39.833333333333336</v>
      </c>
      <c r="E20">
        <f t="shared" si="6"/>
        <v>2.3366666666666664</v>
      </c>
      <c r="H20">
        <f>(H5+H10+H15)/3</f>
        <v>1.0265199999999999</v>
      </c>
      <c r="I20">
        <f t="shared" si="7"/>
        <v>0.37808100000000006</v>
      </c>
      <c r="J20">
        <f t="shared" si="7"/>
        <v>3.0795600000000003</v>
      </c>
      <c r="K20">
        <f t="shared" si="8"/>
        <v>9.6429763915474975</v>
      </c>
      <c r="L20">
        <f t="shared" si="8"/>
        <v>8.1445906782590196</v>
      </c>
      <c r="M20">
        <f t="shared" si="8"/>
        <v>78.408729999202365</v>
      </c>
      <c r="S20">
        <v>9.6429763915474975</v>
      </c>
      <c r="T20">
        <v>0.41</v>
      </c>
      <c r="U20">
        <v>8.1445906782590196</v>
      </c>
      <c r="V20">
        <v>0.47699999999999998</v>
      </c>
      <c r="W20">
        <v>78.408729999202365</v>
      </c>
      <c r="X20">
        <v>1.52</v>
      </c>
    </row>
    <row r="21" spans="1:24" x14ac:dyDescent="0.2">
      <c r="B21" t="s">
        <v>97</v>
      </c>
      <c r="C21">
        <f t="shared" si="6"/>
        <v>6.9333333333333336</v>
      </c>
      <c r="D21">
        <f t="shared" si="6"/>
        <v>36.033333333333339</v>
      </c>
      <c r="E21">
        <f t="shared" si="6"/>
        <v>1.9333333333333336</v>
      </c>
      <c r="H21">
        <f>(H6+H11+H16)/3</f>
        <v>1.2513233333333336</v>
      </c>
      <c r="I21">
        <f t="shared" si="7"/>
        <v>0.67930500000000016</v>
      </c>
      <c r="J21">
        <f t="shared" si="7"/>
        <v>6.2566166666666669</v>
      </c>
      <c r="K21">
        <f t="shared" si="8"/>
        <v>9.4358758228073309</v>
      </c>
      <c r="L21">
        <f t="shared" si="8"/>
        <v>9.1795588382074058</v>
      </c>
      <c r="M21">
        <f t="shared" si="8"/>
        <v>86.211761390731354</v>
      </c>
      <c r="S21">
        <v>9.4358758228073309</v>
      </c>
      <c r="T21">
        <v>1.05</v>
      </c>
      <c r="U21">
        <v>9.1795588382074058</v>
      </c>
      <c r="V21">
        <v>0.94899999999999995</v>
      </c>
      <c r="W21">
        <v>86.211761390731354</v>
      </c>
      <c r="X21">
        <v>4.8</v>
      </c>
    </row>
    <row r="22" spans="1:24" x14ac:dyDescent="0.2">
      <c r="B22" t="s">
        <v>104</v>
      </c>
      <c r="E22">
        <f>AVERAGE(E19:E21)</f>
        <v>2.2511111111111113</v>
      </c>
      <c r="I22">
        <f>SUM(I19:I21)</f>
        <v>1.2313913333333337</v>
      </c>
      <c r="J22">
        <f>SUM(J19:J21)</f>
        <v>10.69651</v>
      </c>
    </row>
    <row r="23" spans="1:24" x14ac:dyDescent="0.2">
      <c r="F23" t="s">
        <v>115</v>
      </c>
      <c r="G23" t="s">
        <v>116</v>
      </c>
      <c r="L23" t="s">
        <v>115</v>
      </c>
      <c r="R23">
        <v>2002</v>
      </c>
    </row>
    <row r="24" spans="1:24" x14ac:dyDescent="0.2">
      <c r="A24" t="s">
        <v>50</v>
      </c>
      <c r="B24" t="s">
        <v>104</v>
      </c>
      <c r="C24" t="s">
        <v>112</v>
      </c>
      <c r="D24">
        <v>12.314</v>
      </c>
      <c r="F24">
        <f>D24*40</f>
        <v>492.56</v>
      </c>
      <c r="I24" t="s">
        <v>95</v>
      </c>
      <c r="J24">
        <v>1.74</v>
      </c>
      <c r="L24">
        <f>J24*40</f>
        <v>69.599999999999994</v>
      </c>
      <c r="M24" t="s">
        <v>113</v>
      </c>
    </row>
    <row r="25" spans="1:24" x14ac:dyDescent="0.2">
      <c r="A25" t="s">
        <v>111</v>
      </c>
      <c r="B25" t="s">
        <v>104</v>
      </c>
      <c r="C25" t="s">
        <v>112</v>
      </c>
      <c r="D25">
        <v>106.96</v>
      </c>
      <c r="F25">
        <f>D25*40</f>
        <v>4278.3999999999996</v>
      </c>
      <c r="I25" t="s">
        <v>95</v>
      </c>
      <c r="J25">
        <v>13.6</v>
      </c>
      <c r="L25">
        <f>J25*40</f>
        <v>544</v>
      </c>
      <c r="M25" t="s">
        <v>113</v>
      </c>
    </row>
    <row r="28" spans="1:24" x14ac:dyDescent="0.2">
      <c r="A28" t="s">
        <v>114</v>
      </c>
      <c r="C28">
        <v>2002</v>
      </c>
      <c r="O28">
        <v>1988</v>
      </c>
      <c r="P28">
        <v>2002</v>
      </c>
      <c r="Q28">
        <v>2009</v>
      </c>
      <c r="R28">
        <v>2014</v>
      </c>
      <c r="S28">
        <v>2018</v>
      </c>
      <c r="T28">
        <v>1988</v>
      </c>
      <c r="U28">
        <v>2002</v>
      </c>
    </row>
    <row r="29" spans="1:24" x14ac:dyDescent="0.2">
      <c r="E29" t="s">
        <v>50</v>
      </c>
      <c r="F29" t="s">
        <v>52</v>
      </c>
      <c r="G29" t="s">
        <v>50</v>
      </c>
      <c r="H29" t="s">
        <v>52</v>
      </c>
      <c r="I29" t="s">
        <v>50</v>
      </c>
      <c r="J29" t="s">
        <v>52</v>
      </c>
      <c r="O29" t="s">
        <v>119</v>
      </c>
      <c r="P29" t="s">
        <v>119</v>
      </c>
      <c r="T29" t="s">
        <v>120</v>
      </c>
      <c r="U29" t="s">
        <v>121</v>
      </c>
    </row>
    <row r="30" spans="1:24" x14ac:dyDescent="0.2"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102</v>
      </c>
      <c r="I30" t="s">
        <v>103</v>
      </c>
      <c r="J30" t="s">
        <v>103</v>
      </c>
      <c r="K30" t="s">
        <v>108</v>
      </c>
      <c r="L30" t="s">
        <v>109</v>
      </c>
      <c r="M30" t="s">
        <v>110</v>
      </c>
      <c r="O30">
        <v>2.9</v>
      </c>
      <c r="P30">
        <v>5.7</v>
      </c>
      <c r="T30">
        <v>44.5</v>
      </c>
      <c r="U30">
        <v>26.9</v>
      </c>
    </row>
    <row r="31" spans="1:24" x14ac:dyDescent="0.2">
      <c r="A31" t="s">
        <v>94</v>
      </c>
      <c r="B31" t="s">
        <v>95</v>
      </c>
      <c r="C31">
        <v>5.7</v>
      </c>
      <c r="D31">
        <v>26.9</v>
      </c>
      <c r="E31">
        <v>1.1200000000000001</v>
      </c>
      <c r="F31">
        <v>14.8</v>
      </c>
      <c r="G31">
        <f>1.1*C31*E31/100</f>
        <v>7.0224000000000009E-2</v>
      </c>
      <c r="H31">
        <f>G31*F31/E31</f>
        <v>0.92796000000000001</v>
      </c>
      <c r="I31">
        <f>G31*2</f>
        <v>0.14044800000000002</v>
      </c>
      <c r="J31">
        <f>I31*F31/E31</f>
        <v>1.85592</v>
      </c>
      <c r="K31">
        <f>1.1*D31*0.46*10/F31</f>
        <v>9.1968918918918909</v>
      </c>
      <c r="L31">
        <f>F31/E31</f>
        <v>13.214285714285714</v>
      </c>
      <c r="M31">
        <f>K31*L31</f>
        <v>121.53035714285713</v>
      </c>
      <c r="O31">
        <v>4.2</v>
      </c>
      <c r="P31">
        <v>16.5</v>
      </c>
      <c r="T31">
        <v>43.8</v>
      </c>
      <c r="U31">
        <v>19.8</v>
      </c>
    </row>
    <row r="32" spans="1:24" x14ac:dyDescent="0.2">
      <c r="B32" s="1" t="s">
        <v>96</v>
      </c>
      <c r="C32">
        <v>16.5</v>
      </c>
      <c r="D32">
        <v>19.8</v>
      </c>
      <c r="E32">
        <v>0.68</v>
      </c>
      <c r="F32">
        <v>10.7</v>
      </c>
      <c r="G32">
        <f t="shared" ref="G32:G42" si="9">1.1*C32*E32/100</f>
        <v>0.12342000000000003</v>
      </c>
      <c r="H32">
        <f t="shared" ref="H32:H42" si="10">G32*F32/E32</f>
        <v>1.9420500000000003</v>
      </c>
      <c r="I32">
        <f>G32*3</f>
        <v>0.37026000000000009</v>
      </c>
      <c r="J32">
        <f t="shared" ref="J32:J43" si="11">I32*F32/E32</f>
        <v>5.8261500000000011</v>
      </c>
      <c r="K32">
        <f t="shared" ref="K32:K43" si="12">1.1*D32*0.46*10/F32</f>
        <v>9.3633644859813092</v>
      </c>
      <c r="L32">
        <f t="shared" ref="L32:L43" si="13">F32/E32</f>
        <v>15.735294117647056</v>
      </c>
      <c r="M32">
        <f t="shared" ref="M32:M43" si="14">K32*L32</f>
        <v>147.33529411764704</v>
      </c>
      <c r="O32">
        <v>4.9000000000000004</v>
      </c>
      <c r="P32">
        <v>18.100000000000001</v>
      </c>
      <c r="T32">
        <v>43.7</v>
      </c>
      <c r="U32">
        <v>16.600000000000001</v>
      </c>
    </row>
    <row r="33" spans="1:45" x14ac:dyDescent="0.2">
      <c r="B33" t="s">
        <v>97</v>
      </c>
      <c r="C33">
        <v>18.100000000000001</v>
      </c>
      <c r="D33">
        <v>16.600000000000001</v>
      </c>
      <c r="E33">
        <v>0.7</v>
      </c>
      <c r="F33">
        <v>9.75</v>
      </c>
      <c r="G33">
        <f t="shared" si="9"/>
        <v>0.13937000000000002</v>
      </c>
      <c r="H33">
        <f t="shared" si="10"/>
        <v>1.9412250000000004</v>
      </c>
      <c r="I33">
        <f>G33*5</f>
        <v>0.69685000000000008</v>
      </c>
      <c r="J33">
        <f t="shared" si="11"/>
        <v>9.7061250000000019</v>
      </c>
      <c r="K33">
        <f t="shared" si="12"/>
        <v>8.6149743589743597</v>
      </c>
      <c r="L33">
        <f t="shared" si="13"/>
        <v>13.928571428571429</v>
      </c>
      <c r="M33">
        <f t="shared" si="14"/>
        <v>119.99428571428572</v>
      </c>
      <c r="O33">
        <f>(O30*2+O31*3+O32*5)/10</f>
        <v>4.2900000000000009</v>
      </c>
      <c r="T33">
        <f>AVERAGE(T30:T32)</f>
        <v>44</v>
      </c>
    </row>
    <row r="34" spans="1:45" x14ac:dyDescent="0.2">
      <c r="B34" t="s">
        <v>104</v>
      </c>
      <c r="I34">
        <f>SUM(I31:I33)</f>
        <v>1.2075580000000001</v>
      </c>
      <c r="J34">
        <f>SUM(J31:J33)</f>
        <v>17.388195000000003</v>
      </c>
      <c r="K34">
        <f>(K31*2+K32*3+K33*5)/10</f>
        <v>8.9558749036599501</v>
      </c>
      <c r="L34">
        <f>(L31*2+L32*3+L33*5)/10</f>
        <v>14.327731092436972</v>
      </c>
      <c r="M34">
        <f>(M31*2+M32*3+M33*5)/10</f>
        <v>128.5038025210084</v>
      </c>
    </row>
    <row r="35" spans="1:45" x14ac:dyDescent="0.2">
      <c r="O35">
        <v>3.1</v>
      </c>
      <c r="P35">
        <v>6.41</v>
      </c>
      <c r="T35">
        <v>43.4</v>
      </c>
      <c r="U35">
        <v>26.4</v>
      </c>
    </row>
    <row r="36" spans="1:45" x14ac:dyDescent="0.2">
      <c r="A36" t="s">
        <v>105</v>
      </c>
      <c r="B36" t="s">
        <v>95</v>
      </c>
      <c r="C36">
        <v>6.41</v>
      </c>
      <c r="D36">
        <v>26.4</v>
      </c>
      <c r="E36">
        <v>1.18</v>
      </c>
      <c r="F36">
        <v>15.7</v>
      </c>
      <c r="G36">
        <f t="shared" si="9"/>
        <v>8.3201800000000006E-2</v>
      </c>
      <c r="H36">
        <f t="shared" si="10"/>
        <v>1.1070070000000001</v>
      </c>
      <c r="I36">
        <f>G36*2</f>
        <v>0.16640360000000001</v>
      </c>
      <c r="J36">
        <f t="shared" si="11"/>
        <v>2.2140140000000001</v>
      </c>
      <c r="K36">
        <f t="shared" si="12"/>
        <v>8.5085350318471349</v>
      </c>
      <c r="L36">
        <f t="shared" si="13"/>
        <v>13.305084745762713</v>
      </c>
      <c r="M36">
        <f t="shared" si="14"/>
        <v>113.20677966101697</v>
      </c>
      <c r="O36">
        <v>4.5</v>
      </c>
      <c r="P36">
        <v>8.5500000000000007</v>
      </c>
      <c r="T36">
        <v>41.8</v>
      </c>
      <c r="U36">
        <v>21</v>
      </c>
    </row>
    <row r="37" spans="1:45" x14ac:dyDescent="0.2">
      <c r="B37" s="1" t="s">
        <v>96</v>
      </c>
      <c r="C37">
        <v>8.5500000000000007</v>
      </c>
      <c r="D37">
        <v>21</v>
      </c>
      <c r="E37">
        <v>0.8</v>
      </c>
      <c r="F37">
        <v>10.8</v>
      </c>
      <c r="G37">
        <f t="shared" si="9"/>
        <v>7.5240000000000015E-2</v>
      </c>
      <c r="H37">
        <f t="shared" si="10"/>
        <v>1.0157400000000001</v>
      </c>
      <c r="I37">
        <f>G37*3</f>
        <v>0.22572000000000003</v>
      </c>
      <c r="J37">
        <f t="shared" si="11"/>
        <v>3.0472200000000003</v>
      </c>
      <c r="K37">
        <f t="shared" si="12"/>
        <v>9.8388888888888903</v>
      </c>
      <c r="L37">
        <f t="shared" si="13"/>
        <v>13.5</v>
      </c>
      <c r="M37">
        <f t="shared" si="14"/>
        <v>132.82500000000002</v>
      </c>
      <c r="O37">
        <v>5.6</v>
      </c>
      <c r="P37">
        <v>20.3</v>
      </c>
      <c r="T37">
        <v>38.700000000000003</v>
      </c>
      <c r="U37">
        <v>13.5</v>
      </c>
    </row>
    <row r="38" spans="1:45" x14ac:dyDescent="0.2">
      <c r="B38" t="s">
        <v>97</v>
      </c>
      <c r="C38">
        <v>20.3</v>
      </c>
      <c r="D38">
        <v>13.5</v>
      </c>
      <c r="E38">
        <v>0.44</v>
      </c>
      <c r="F38">
        <v>6.99</v>
      </c>
      <c r="G38">
        <f t="shared" si="9"/>
        <v>9.8252000000000006E-2</v>
      </c>
      <c r="H38">
        <f t="shared" si="10"/>
        <v>1.5608670000000002</v>
      </c>
      <c r="I38">
        <f>G38*5</f>
        <v>0.49126000000000003</v>
      </c>
      <c r="J38">
        <f t="shared" si="11"/>
        <v>7.8043350000000009</v>
      </c>
      <c r="K38">
        <f t="shared" si="12"/>
        <v>9.772532188841204</v>
      </c>
      <c r="L38">
        <f t="shared" si="13"/>
        <v>15.886363636363637</v>
      </c>
      <c r="M38">
        <f t="shared" si="14"/>
        <v>155.25000000000003</v>
      </c>
      <c r="O38">
        <f>(O35*2+O36*3+O37*5)/10</f>
        <v>4.7700000000000005</v>
      </c>
      <c r="T38">
        <f>AVERAGE(T35:T37)</f>
        <v>41.3</v>
      </c>
    </row>
    <row r="39" spans="1:45" x14ac:dyDescent="0.2">
      <c r="B39" t="s">
        <v>104</v>
      </c>
      <c r="I39">
        <f>SUM(I36:I38)</f>
        <v>0.88338360000000005</v>
      </c>
      <c r="J39">
        <f>SUM(J36:J38)</f>
        <v>13.065569</v>
      </c>
      <c r="K39">
        <f>(K36*2+K37*3+K38*5)/10</f>
        <v>9.5396397674566966</v>
      </c>
      <c r="L39">
        <f>(L36*2+L37*3+L38*5)/10</f>
        <v>14.654198767334361</v>
      </c>
      <c r="M39">
        <f>(M36*2+M37*3+M38*5)/10</f>
        <v>140.11385593220342</v>
      </c>
    </row>
    <row r="40" spans="1:45" x14ac:dyDescent="0.2">
      <c r="O40">
        <v>3.6</v>
      </c>
      <c r="P40">
        <v>4.0999999999999996</v>
      </c>
      <c r="T40">
        <v>38.9</v>
      </c>
      <c r="U40">
        <v>30.6</v>
      </c>
    </row>
    <row r="41" spans="1:45" x14ac:dyDescent="0.2">
      <c r="A41" t="s">
        <v>106</v>
      </c>
      <c r="B41" t="s">
        <v>95</v>
      </c>
      <c r="C41">
        <v>4.0999999999999996</v>
      </c>
      <c r="D41">
        <v>30.6</v>
      </c>
      <c r="E41">
        <v>1.48</v>
      </c>
      <c r="F41">
        <v>15.8</v>
      </c>
      <c r="G41">
        <f t="shared" si="9"/>
        <v>6.6747999999999988E-2</v>
      </c>
      <c r="H41">
        <f t="shared" si="10"/>
        <v>0.71257999999999988</v>
      </c>
      <c r="I41">
        <f>G41*2</f>
        <v>0.13349599999999998</v>
      </c>
      <c r="J41">
        <f t="shared" si="11"/>
        <v>1.4251599999999998</v>
      </c>
      <c r="K41">
        <f t="shared" si="12"/>
        <v>9.7997468354430382</v>
      </c>
      <c r="L41">
        <f t="shared" si="13"/>
        <v>10.675675675675675</v>
      </c>
      <c r="M41">
        <f t="shared" si="14"/>
        <v>104.61891891891892</v>
      </c>
      <c r="O41">
        <v>6.3</v>
      </c>
      <c r="P41">
        <v>10</v>
      </c>
      <c r="T41">
        <v>33.9</v>
      </c>
      <c r="U41">
        <v>27</v>
      </c>
    </row>
    <row r="42" spans="1:45" x14ac:dyDescent="0.2">
      <c r="B42" s="1" t="s">
        <v>96</v>
      </c>
      <c r="C42">
        <v>10</v>
      </c>
      <c r="D42">
        <v>27</v>
      </c>
      <c r="E42">
        <v>1.32</v>
      </c>
      <c r="F42">
        <v>14.7</v>
      </c>
      <c r="G42">
        <f t="shared" si="9"/>
        <v>0.14520000000000002</v>
      </c>
      <c r="H42">
        <f t="shared" si="10"/>
        <v>1.617</v>
      </c>
      <c r="I42">
        <f>G42*3</f>
        <v>0.4356000000000001</v>
      </c>
      <c r="J42">
        <f t="shared" si="11"/>
        <v>4.851</v>
      </c>
      <c r="K42">
        <f t="shared" si="12"/>
        <v>9.2938775510204117</v>
      </c>
      <c r="L42">
        <f t="shared" si="13"/>
        <v>11.136363636363635</v>
      </c>
      <c r="M42">
        <f t="shared" si="14"/>
        <v>103.50000000000003</v>
      </c>
      <c r="O42">
        <v>10.3</v>
      </c>
      <c r="P42">
        <v>11.9</v>
      </c>
      <c r="T42">
        <v>25.7</v>
      </c>
      <c r="U42">
        <v>20.3</v>
      </c>
    </row>
    <row r="43" spans="1:45" x14ac:dyDescent="0.2">
      <c r="B43" t="s">
        <v>97</v>
      </c>
      <c r="C43">
        <v>11.9</v>
      </c>
      <c r="D43">
        <v>20.3</v>
      </c>
      <c r="E43">
        <v>0.84</v>
      </c>
      <c r="F43">
        <v>12.5</v>
      </c>
      <c r="G43">
        <f>1.1*C43*E43/100</f>
        <v>0.10995600000000001</v>
      </c>
      <c r="H43">
        <f>G43*F43/E43</f>
        <v>1.6362500000000002</v>
      </c>
      <c r="I43">
        <f>G43*5</f>
        <v>0.54978000000000005</v>
      </c>
      <c r="J43">
        <f t="shared" si="11"/>
        <v>8.1812500000000004</v>
      </c>
      <c r="K43">
        <f t="shared" si="12"/>
        <v>8.2174399999999999</v>
      </c>
      <c r="L43">
        <f t="shared" si="13"/>
        <v>14.880952380952381</v>
      </c>
      <c r="M43">
        <f t="shared" si="14"/>
        <v>122.28333333333333</v>
      </c>
      <c r="O43">
        <f>(O40*2+O41*3+O42*5)/10</f>
        <v>7.76</v>
      </c>
      <c r="T43">
        <f>AVERAGE(T40:T42)</f>
        <v>32.833333333333336</v>
      </c>
    </row>
    <row r="44" spans="1:45" x14ac:dyDescent="0.2">
      <c r="B44" t="s">
        <v>104</v>
      </c>
      <c r="I44">
        <f>SUM(I41:I43)</f>
        <v>1.1188760000000002</v>
      </c>
      <c r="J44">
        <f>SUM(J41:J43)</f>
        <v>14.457409999999999</v>
      </c>
      <c r="K44">
        <f>(K41*2+K42*3+K43*5)/10</f>
        <v>8.8568326323947311</v>
      </c>
      <c r="L44">
        <f>(L41*2+L42*3+L43*5)/10</f>
        <v>12.916520416520417</v>
      </c>
      <c r="M44">
        <f>(M41*2+M42*3+M43*5)/10</f>
        <v>113.11545045045045</v>
      </c>
      <c r="N44" s="2"/>
      <c r="O44" s="2">
        <v>1988</v>
      </c>
      <c r="P44" s="2">
        <v>2002</v>
      </c>
      <c r="Q44" s="2">
        <v>2009</v>
      </c>
      <c r="R44" s="2">
        <v>2014</v>
      </c>
      <c r="S44" s="2">
        <v>2018</v>
      </c>
      <c r="T44" s="2">
        <v>1988</v>
      </c>
      <c r="U44" s="2">
        <v>2002</v>
      </c>
      <c r="V44" s="2">
        <v>2009</v>
      </c>
      <c r="W44" s="2">
        <v>2014</v>
      </c>
      <c r="X44" s="2">
        <v>2018</v>
      </c>
      <c r="Y44" s="2">
        <v>1988</v>
      </c>
      <c r="Z44" s="2">
        <v>2002</v>
      </c>
      <c r="AA44" s="2">
        <v>2009</v>
      </c>
      <c r="AB44" s="2">
        <v>2014</v>
      </c>
      <c r="AC44" s="2">
        <v>2018</v>
      </c>
      <c r="AD44" s="2">
        <v>1988</v>
      </c>
      <c r="AE44" s="2">
        <v>2002</v>
      </c>
      <c r="AF44" s="2">
        <v>2009</v>
      </c>
      <c r="AG44" s="2">
        <v>2014</v>
      </c>
      <c r="AH44" s="2">
        <v>2018</v>
      </c>
      <c r="AI44" s="2">
        <v>1988</v>
      </c>
      <c r="AJ44" s="2">
        <v>2002</v>
      </c>
      <c r="AK44" s="2">
        <v>2009</v>
      </c>
      <c r="AL44" s="2">
        <v>2014</v>
      </c>
      <c r="AM44" s="2">
        <v>2018</v>
      </c>
      <c r="AN44" s="2">
        <v>1988</v>
      </c>
      <c r="AO44" s="2">
        <v>2002</v>
      </c>
      <c r="AP44" s="2">
        <v>2009</v>
      </c>
      <c r="AQ44" s="2">
        <v>2014</v>
      </c>
      <c r="AR44" s="2">
        <v>2018</v>
      </c>
      <c r="AS44" s="2"/>
    </row>
    <row r="45" spans="1:45" x14ac:dyDescent="0.2">
      <c r="N45" s="2" t="s">
        <v>170</v>
      </c>
      <c r="O45" s="2"/>
      <c r="P45" s="2" t="s">
        <v>171</v>
      </c>
      <c r="Q45" s="2"/>
      <c r="R45" s="2"/>
      <c r="S45" s="2"/>
      <c r="T45" s="2" t="s">
        <v>174</v>
      </c>
      <c r="U45" s="2"/>
      <c r="V45" s="2" t="s">
        <v>175</v>
      </c>
      <c r="W45" s="2"/>
      <c r="X45" s="2"/>
      <c r="Y45" s="2" t="s">
        <v>176</v>
      </c>
      <c r="Z45" s="2"/>
      <c r="AA45" s="2"/>
      <c r="AB45" s="2"/>
      <c r="AC45" s="2"/>
      <c r="AD45" s="2" t="s">
        <v>177</v>
      </c>
      <c r="AE45" s="2"/>
      <c r="AF45" s="2"/>
      <c r="AG45" s="2"/>
      <c r="AH45" s="2"/>
      <c r="AI45" t="s">
        <v>178</v>
      </c>
      <c r="AN45" t="s">
        <v>179</v>
      </c>
    </row>
    <row r="46" spans="1:45" x14ac:dyDescent="0.2">
      <c r="A46" t="s">
        <v>107</v>
      </c>
      <c r="B46" t="s">
        <v>95</v>
      </c>
      <c r="C46">
        <f t="shared" ref="C46:E48" si="15">(C31+C36+C41)/3</f>
        <v>5.4033333333333333</v>
      </c>
      <c r="D46">
        <f t="shared" si="15"/>
        <v>27.966666666666669</v>
      </c>
      <c r="E46">
        <f t="shared" si="15"/>
        <v>1.26</v>
      </c>
      <c r="I46">
        <f t="shared" ref="I46:K48" si="16">(I31+I36+I41)/3</f>
        <v>0.14678253333333333</v>
      </c>
      <c r="J46">
        <f t="shared" si="16"/>
        <v>1.831698</v>
      </c>
      <c r="K46">
        <f>(K31+K41)/2</f>
        <v>9.4983193636674645</v>
      </c>
      <c r="L46">
        <f>J46/I46</f>
        <v>12.478991596638656</v>
      </c>
      <c r="M46">
        <f>(M31+M36+M41)/3</f>
        <v>113.11868524093101</v>
      </c>
      <c r="N46" s="2" t="s">
        <v>95</v>
      </c>
      <c r="O46" s="2">
        <v>3.1999999999999997</v>
      </c>
      <c r="P46" s="2">
        <v>5.4033333333333333</v>
      </c>
      <c r="Q46" s="2">
        <f>(2.78+3.2+3.06)/3</f>
        <v>3.0133333333333336</v>
      </c>
      <c r="R46" s="2">
        <f>(3.06+3+2.9+3.3)/4</f>
        <v>3.0650000000000004</v>
      </c>
      <c r="S46" s="2">
        <f>(2.9+3+3.3)/3</f>
        <v>3.0666666666666664</v>
      </c>
      <c r="T46" s="2">
        <f t="shared" ref="T46:U48" si="17">(T30+T35+T40)/3</f>
        <v>42.266666666666673</v>
      </c>
      <c r="U46" s="2">
        <f t="shared" si="17"/>
        <v>27.966666666666669</v>
      </c>
      <c r="V46" s="2">
        <f>(32+35.6+39.7)/3</f>
        <v>35.766666666666666</v>
      </c>
      <c r="W46" s="2">
        <f>(39+39+33)/3</f>
        <v>37</v>
      </c>
      <c r="X46" s="2">
        <f>(41+31.4+35.6)/3</f>
        <v>36</v>
      </c>
      <c r="Y46" s="2">
        <v>2.4833333333333334</v>
      </c>
      <c r="Z46" s="2">
        <v>1.26</v>
      </c>
      <c r="AA46" s="2">
        <f>(1.6+1.41+1.33)/3</f>
        <v>1.4466666666666665</v>
      </c>
      <c r="AB46" s="2">
        <f>(1.4+1.8+1.5)/3</f>
        <v>1.5666666666666667</v>
      </c>
      <c r="AC46" s="2">
        <f>(1.8+1.5+1.6)/3</f>
        <v>1.6333333333333335</v>
      </c>
      <c r="AD46" s="2">
        <f>4.4*T46/Y46</f>
        <v>74.888590604026859</v>
      </c>
      <c r="AE46" s="2">
        <f>4.4*U46/Z46</f>
        <v>97.661375661375672</v>
      </c>
      <c r="AF46" s="2">
        <f>4.4*V46/AA46</f>
        <v>108.78341013824885</v>
      </c>
      <c r="AG46" s="2">
        <f>4.4*W46/AB46</f>
        <v>103.91489361702128</v>
      </c>
      <c r="AH46" s="2">
        <f>4.4*X46/AC46</f>
        <v>96.979591836734684</v>
      </c>
      <c r="AI46" s="2">
        <f>1000/74</f>
        <v>13.513513513513514</v>
      </c>
      <c r="AJ46" s="2">
        <f>1000/AE46</f>
        <v>10.239462563658034</v>
      </c>
      <c r="AK46">
        <f>1000/AF46</f>
        <v>9.1925781580953991</v>
      </c>
      <c r="AL46">
        <f>1000/AG46</f>
        <v>9.6232596232596226</v>
      </c>
      <c r="AM46">
        <f>1000/AH46</f>
        <v>10.311447811447813</v>
      </c>
      <c r="AN46">
        <f>1.1*O46/100*Y46</f>
        <v>8.7413333333333343E-2</v>
      </c>
      <c r="AO46">
        <f>1.1*P46/100*Z46</f>
        <v>7.4890200000000004E-2</v>
      </c>
      <c r="AP46">
        <f>1.1*Q46/100*AA46</f>
        <v>4.7952177777777778E-2</v>
      </c>
      <c r="AQ46">
        <f>1.1*R46/100*AB46</f>
        <v>5.2820166666666682E-2</v>
      </c>
      <c r="AR46">
        <f>1.1*S46/100*AC46</f>
        <v>5.5097777777777794E-2</v>
      </c>
    </row>
    <row r="47" spans="1:45" x14ac:dyDescent="0.2">
      <c r="B47" s="1" t="s">
        <v>96</v>
      </c>
      <c r="C47">
        <f t="shared" si="15"/>
        <v>11.683333333333332</v>
      </c>
      <c r="D47">
        <f t="shared" si="15"/>
        <v>22.599999999999998</v>
      </c>
      <c r="E47">
        <f t="shared" si="15"/>
        <v>0.93333333333333324</v>
      </c>
      <c r="I47">
        <f t="shared" si="16"/>
        <v>0.34386000000000011</v>
      </c>
      <c r="J47">
        <f t="shared" si="16"/>
        <v>4.5747900000000001</v>
      </c>
      <c r="K47">
        <f t="shared" si="16"/>
        <v>9.4987103086302032</v>
      </c>
      <c r="L47">
        <f>J47/I47</f>
        <v>13.304222648752395</v>
      </c>
      <c r="M47">
        <f>(M32+M37+M42)/3</f>
        <v>127.88676470588234</v>
      </c>
      <c r="N47" s="2" t="s">
        <v>172</v>
      </c>
      <c r="O47" s="2">
        <v>5</v>
      </c>
      <c r="P47" s="2">
        <v>11.683333333333332</v>
      </c>
      <c r="Q47" s="2">
        <f>(4.8+6.49+5.49)/3</f>
        <v>5.5933333333333337</v>
      </c>
      <c r="R47" s="2">
        <f>(4.3+4.4+4.9)/3</f>
        <v>4.5333333333333332</v>
      </c>
      <c r="S47" s="2">
        <f>(5.7+4.5+4.3)/3</f>
        <v>4.833333333333333</v>
      </c>
      <c r="T47" s="2">
        <f t="shared" si="17"/>
        <v>39.833333333333336</v>
      </c>
      <c r="U47" s="2">
        <f t="shared" si="17"/>
        <v>22.599999999999998</v>
      </c>
      <c r="V47" s="2">
        <f>(33.4+28.2+31.8)/3</f>
        <v>31.133333333333329</v>
      </c>
      <c r="W47" s="2">
        <f>(37+33+32)/3</f>
        <v>34</v>
      </c>
      <c r="X47" s="2">
        <f>(40.7+36.6+28.8)/3</f>
        <v>35.366666666666667</v>
      </c>
      <c r="Y47" s="2">
        <v>2.3366666666666664</v>
      </c>
      <c r="Z47" s="2">
        <v>0.93333333333333324</v>
      </c>
      <c r="AA47" s="2">
        <f>(1.41+1.53+1.16)/3</f>
        <v>1.3666666666666665</v>
      </c>
      <c r="AB47" s="2">
        <f>(1.7+1.5+1.5)/3</f>
        <v>1.5666666666666667</v>
      </c>
      <c r="AC47" s="2">
        <f>(1.9+1.6+2.2)/3</f>
        <v>1.9000000000000001</v>
      </c>
      <c r="AD47" s="2">
        <f t="shared" ref="AD47:AD48" si="18">4.4*T47/Y47</f>
        <v>75.007132667617697</v>
      </c>
      <c r="AE47" s="2">
        <f t="shared" ref="AE47:AE48" si="19">4.4*U47/Z47</f>
        <v>106.54285714285714</v>
      </c>
      <c r="AF47" s="2">
        <f t="shared" ref="AF47:AF48" si="20">4.4*V47/AA47</f>
        <v>100.23414634146341</v>
      </c>
      <c r="AG47" s="2">
        <f t="shared" ref="AG47:AG48" si="21">4.4*W47/AB47</f>
        <v>95.489361702127681</v>
      </c>
      <c r="AH47" s="2">
        <f t="shared" ref="AH47:AH48" si="22">4.4*X47/AC47</f>
        <v>81.901754385964907</v>
      </c>
      <c r="AI47" s="2">
        <f t="shared" ref="AI47:AI48" si="23">1000/74</f>
        <v>13.513513513513514</v>
      </c>
      <c r="AJ47" s="2">
        <f t="shared" ref="AJ47:AJ48" si="24">1000/AE47</f>
        <v>9.3858943416465532</v>
      </c>
      <c r="AK47">
        <f t="shared" ref="AK47:AK48" si="25">1000/AF47</f>
        <v>9.9766400622931677</v>
      </c>
      <c r="AL47">
        <f t="shared" ref="AL47:AL48" si="26">1000/AG47</f>
        <v>10.472370766488412</v>
      </c>
      <c r="AM47">
        <f t="shared" ref="AM47:AM48" si="27">1000/AH47</f>
        <v>12.209750664039072</v>
      </c>
      <c r="AN47">
        <f t="shared" ref="AN47:AN48" si="28">1.1*O47/100*Y47</f>
        <v>0.12851666666666667</v>
      </c>
      <c r="AO47">
        <f t="shared" ref="AO47:AO48" si="29">1.1*P47/100*Z47</f>
        <v>0.11994888888888888</v>
      </c>
      <c r="AP47">
        <f t="shared" ref="AP47:AP48" si="30">1.1*Q47/100*AA47</f>
        <v>8.4086444444444436E-2</v>
      </c>
      <c r="AQ47">
        <f t="shared" ref="AQ47:AQ48" si="31">1.1*R47/100*AB47</f>
        <v>7.8124444444444455E-2</v>
      </c>
      <c r="AR47">
        <f t="shared" ref="AR47:AR48" si="32">1.1*S47/100*AC47</f>
        <v>0.10101666666666667</v>
      </c>
    </row>
    <row r="48" spans="1:45" x14ac:dyDescent="0.2">
      <c r="B48" t="s">
        <v>97</v>
      </c>
      <c r="C48">
        <f t="shared" si="15"/>
        <v>16.766666666666669</v>
      </c>
      <c r="D48">
        <f t="shared" si="15"/>
        <v>16.8</v>
      </c>
      <c r="E48">
        <f t="shared" si="15"/>
        <v>0.66</v>
      </c>
      <c r="I48">
        <f t="shared" si="16"/>
        <v>0.57929666666666668</v>
      </c>
      <c r="J48">
        <f t="shared" si="16"/>
        <v>8.5639033333333341</v>
      </c>
      <c r="K48">
        <f t="shared" si="16"/>
        <v>8.8683155159385212</v>
      </c>
      <c r="L48">
        <f>J48/I48</f>
        <v>14.783277422621685</v>
      </c>
      <c r="M48">
        <f>(M33+M38+M43)/3</f>
        <v>132.50920634920635</v>
      </c>
      <c r="N48" s="2" t="s">
        <v>173</v>
      </c>
      <c r="O48" s="2">
        <v>6.9333333333333336</v>
      </c>
      <c r="P48" s="2">
        <v>16.766666666666669</v>
      </c>
      <c r="Q48" s="2">
        <f>(6.79+6.14+10.6)/3</f>
        <v>7.8433333333333337</v>
      </c>
      <c r="R48" s="2">
        <f>(6.4+5.3+6)/3</f>
        <v>5.8999999999999995</v>
      </c>
      <c r="S48" s="2">
        <f>(7.2+6.5+6.2)/3</f>
        <v>6.6333333333333329</v>
      </c>
      <c r="T48" s="2">
        <f t="shared" si="17"/>
        <v>36.033333333333339</v>
      </c>
      <c r="U48" s="2">
        <f t="shared" si="17"/>
        <v>16.8</v>
      </c>
      <c r="V48" s="2">
        <f>(17.5+31.7+32)/3</f>
        <v>27.066666666666666</v>
      </c>
      <c r="W48" s="2">
        <f>(29+34+26)/3</f>
        <v>29.666666666666668</v>
      </c>
      <c r="X48" s="2">
        <f>(36.6+28.8+31.3)/3</f>
        <v>32.233333333333334</v>
      </c>
      <c r="Y48" s="2">
        <v>1.9333333333333336</v>
      </c>
      <c r="Z48" s="2">
        <v>0.66</v>
      </c>
      <c r="AA48" s="2">
        <f>(1.27+1.44+0.87)/3</f>
        <v>1.1933333333333334</v>
      </c>
      <c r="AB48" s="2">
        <v>1.6</v>
      </c>
      <c r="AC48" s="2">
        <f>(2.2+1.7+1.7)/3</f>
        <v>1.8666666666666669</v>
      </c>
      <c r="AD48" s="2">
        <f t="shared" si="18"/>
        <v>82.006896551724154</v>
      </c>
      <c r="AE48" s="2">
        <f t="shared" si="19"/>
        <v>112.00000000000001</v>
      </c>
      <c r="AF48" s="2">
        <f t="shared" si="20"/>
        <v>99.798882681564251</v>
      </c>
      <c r="AG48" s="2">
        <f t="shared" si="21"/>
        <v>81.583333333333343</v>
      </c>
      <c r="AH48" s="2">
        <f t="shared" si="22"/>
        <v>75.978571428571428</v>
      </c>
      <c r="AI48" s="2">
        <f t="shared" si="23"/>
        <v>13.513513513513514</v>
      </c>
      <c r="AJ48" s="2">
        <f t="shared" si="24"/>
        <v>8.928571428571427</v>
      </c>
      <c r="AK48">
        <f t="shared" si="25"/>
        <v>10.020152261531571</v>
      </c>
      <c r="AL48">
        <f t="shared" si="26"/>
        <v>12.257405515832481</v>
      </c>
      <c r="AM48">
        <f t="shared" si="27"/>
        <v>13.161605715897339</v>
      </c>
      <c r="AN48">
        <f t="shared" si="28"/>
        <v>0.14744888888888893</v>
      </c>
      <c r="AO48">
        <f t="shared" si="29"/>
        <v>0.12172600000000004</v>
      </c>
      <c r="AP48">
        <f t="shared" si="30"/>
        <v>0.10295682222222224</v>
      </c>
      <c r="AQ48">
        <f t="shared" si="31"/>
        <v>0.10384</v>
      </c>
      <c r="AR48">
        <f t="shared" si="32"/>
        <v>0.13620444444444446</v>
      </c>
    </row>
    <row r="49" spans="1:46" x14ac:dyDescent="0.2">
      <c r="B49" t="s">
        <v>104</v>
      </c>
      <c r="E49">
        <f>AVERAGE(E46:E48)</f>
        <v>0.95111111111111113</v>
      </c>
      <c r="I49">
        <f>SUM(I46:I48)</f>
        <v>1.0699392000000001</v>
      </c>
      <c r="J49">
        <f>SUM(J46:J48)</f>
        <v>14.970391333333335</v>
      </c>
      <c r="K49">
        <f>(K34+K39+K44)/3</f>
        <v>9.1174491011704593</v>
      </c>
      <c r="L49">
        <f>J49/I49</f>
        <v>13.991814986621048</v>
      </c>
      <c r="M49">
        <f>(M46*2+M47*3+M48*5)/10</f>
        <v>127.24436963455409</v>
      </c>
    </row>
    <row r="50" spans="1:46" x14ac:dyDescent="0.2">
      <c r="D50" t="s">
        <v>112</v>
      </c>
      <c r="F50" t="s">
        <v>118</v>
      </c>
      <c r="R50">
        <v>1976</v>
      </c>
      <c r="T50" t="s">
        <v>192</v>
      </c>
      <c r="V50" t="s">
        <v>195</v>
      </c>
      <c r="AL50" t="s">
        <v>104</v>
      </c>
      <c r="AM50">
        <v>1976</v>
      </c>
      <c r="AN50" t="s">
        <v>180</v>
      </c>
    </row>
    <row r="51" spans="1:46" x14ac:dyDescent="0.2">
      <c r="A51" t="s">
        <v>117</v>
      </c>
      <c r="B51" t="s">
        <v>104</v>
      </c>
      <c r="D51">
        <v>10.699</v>
      </c>
      <c r="F51">
        <f>D51*40</f>
        <v>427.96</v>
      </c>
      <c r="H51" t="s">
        <v>95</v>
      </c>
      <c r="I51">
        <f>I46*400</f>
        <v>58.713013333333329</v>
      </c>
      <c r="K51">
        <v>1.425</v>
      </c>
      <c r="R51">
        <v>16.260000000000002</v>
      </c>
      <c r="S51" t="s">
        <v>193</v>
      </c>
      <c r="T51">
        <v>14.877000000000001</v>
      </c>
      <c r="U51">
        <f>0.11*U46*P46</f>
        <v>16.622454444444443</v>
      </c>
      <c r="V51">
        <f>0.11*Q46*V46</f>
        <v>11.855457777777778</v>
      </c>
      <c r="W51">
        <f>0.11*R46*W46</f>
        <v>12.474550000000002</v>
      </c>
      <c r="X51">
        <f>0.11*S46*X46</f>
        <v>12.144</v>
      </c>
      <c r="AN51">
        <f>(AN46*2)+(AN47*3)+AN48*5</f>
        <v>1.2976211111111113</v>
      </c>
      <c r="AO51">
        <f>(AO46*2)+(AO47*3)+AO48*5</f>
        <v>1.1182570666666669</v>
      </c>
      <c r="AP51">
        <f>(AP46*2)+(AP47*3)+(AP48*5)</f>
        <v>0.86294780000000004</v>
      </c>
      <c r="AQ51">
        <f>(AQ46*2)+(AQ47*3)+AQ48*5</f>
        <v>0.85921366666666676</v>
      </c>
      <c r="AR51">
        <f>(AR46*2)+(AR47*3)+AR48*5</f>
        <v>1.0942677777777781</v>
      </c>
    </row>
    <row r="52" spans="1:46" x14ac:dyDescent="0.2">
      <c r="A52" t="s">
        <v>52</v>
      </c>
      <c r="B52" t="s">
        <v>104</v>
      </c>
      <c r="D52">
        <f>149.7</f>
        <v>149.69999999999999</v>
      </c>
      <c r="F52">
        <f>D52*40</f>
        <v>5988</v>
      </c>
      <c r="H52" t="s">
        <v>95</v>
      </c>
      <c r="I52">
        <f>J46*400</f>
        <v>732.67920000000004</v>
      </c>
      <c r="K52">
        <v>2.21</v>
      </c>
      <c r="R52">
        <v>18.675000000000001</v>
      </c>
      <c r="S52" s="1" t="s">
        <v>194</v>
      </c>
      <c r="T52">
        <f>21.9</f>
        <v>21.9</v>
      </c>
      <c r="U52">
        <f t="shared" ref="U52:U53" si="33">0.11*U47*P47</f>
        <v>29.044766666666661</v>
      </c>
      <c r="V52">
        <f t="shared" ref="V52:V53" si="34">0.11*Q47*V47</f>
        <v>19.155302222222222</v>
      </c>
      <c r="W52">
        <f t="shared" ref="W52:W53" si="35">0.11*R47*W47</f>
        <v>16.954666666666665</v>
      </c>
      <c r="X52">
        <f t="shared" ref="X52:X53" si="36">0.11*S47*X47</f>
        <v>18.803277777777776</v>
      </c>
      <c r="AB52">
        <f>10*0.44</f>
        <v>4.4000000000000004</v>
      </c>
      <c r="AN52" t="s">
        <v>181</v>
      </c>
      <c r="AP52" t="s">
        <v>182</v>
      </c>
    </row>
    <row r="53" spans="1:46" x14ac:dyDescent="0.2">
      <c r="D53" t="s">
        <v>125</v>
      </c>
      <c r="G53" t="s">
        <v>126</v>
      </c>
      <c r="R53">
        <v>20.82</v>
      </c>
      <c r="S53" t="s">
        <v>97</v>
      </c>
      <c r="T53">
        <f>0.11*O48*T48</f>
        <v>27.481422222222228</v>
      </c>
      <c r="U53">
        <f t="shared" si="33"/>
        <v>30.984800000000007</v>
      </c>
      <c r="V53">
        <f t="shared" si="34"/>
        <v>23.352217777777778</v>
      </c>
      <c r="W53">
        <f t="shared" si="35"/>
        <v>19.253666666666664</v>
      </c>
      <c r="X53">
        <f t="shared" si="36"/>
        <v>23.519588888888887</v>
      </c>
      <c r="AN53">
        <f>AN51*10</f>
        <v>12.976211111111112</v>
      </c>
      <c r="AO53">
        <v>11.182499999999999</v>
      </c>
      <c r="AP53">
        <f>AP51*10</f>
        <v>8.6294780000000006</v>
      </c>
      <c r="AQ53">
        <f>AQ51*10</f>
        <v>8.5921366666666685</v>
      </c>
      <c r="AR53">
        <f>AR51*10</f>
        <v>10.942677777777782</v>
      </c>
    </row>
    <row r="54" spans="1:46" x14ac:dyDescent="0.2">
      <c r="A54" t="s">
        <v>122</v>
      </c>
      <c r="B54" t="s">
        <v>50</v>
      </c>
      <c r="C54" t="s">
        <v>104</v>
      </c>
      <c r="D54">
        <f>F24-F51</f>
        <v>64.600000000000023</v>
      </c>
      <c r="E54" t="s">
        <v>95</v>
      </c>
      <c r="F54">
        <f>L24-I51</f>
        <v>10.886986666666665</v>
      </c>
      <c r="G54">
        <f>F54/14</f>
        <v>0.77764190476190465</v>
      </c>
      <c r="T54">
        <v>1988</v>
      </c>
      <c r="U54">
        <v>2002</v>
      </c>
      <c r="V54">
        <v>2009</v>
      </c>
      <c r="W54">
        <v>2014</v>
      </c>
      <c r="X54">
        <v>2018</v>
      </c>
      <c r="AN54" t="s">
        <v>183</v>
      </c>
      <c r="AO54" t="s">
        <v>184</v>
      </c>
    </row>
    <row r="55" spans="1:46" x14ac:dyDescent="0.2">
      <c r="A55" t="s">
        <v>123</v>
      </c>
      <c r="B55" t="s">
        <v>52</v>
      </c>
      <c r="C55" t="s">
        <v>124</v>
      </c>
      <c r="D55">
        <f>F25-F52</f>
        <v>-1709.6000000000004</v>
      </c>
      <c r="E55" t="s">
        <v>95</v>
      </c>
      <c r="F55">
        <f>L25-I52</f>
        <v>-188.67920000000004</v>
      </c>
      <c r="G55">
        <f>F55/14</f>
        <v>-13.477085714285717</v>
      </c>
      <c r="R55">
        <v>1976</v>
      </c>
      <c r="S55" s="2"/>
      <c r="T55" s="2" t="s">
        <v>196</v>
      </c>
      <c r="U55" s="2"/>
      <c r="V55" s="2"/>
      <c r="W55" s="2"/>
      <c r="X55" s="2"/>
      <c r="AN55">
        <f>AN53*31.6</f>
        <v>410.04827111111115</v>
      </c>
      <c r="AO55">
        <f t="shared" ref="AO55:AR55" si="37">AO53*31.6</f>
        <v>353.36700000000002</v>
      </c>
      <c r="AP55">
        <f t="shared" si="37"/>
        <v>272.69150480000002</v>
      </c>
      <c r="AQ55">
        <f t="shared" si="37"/>
        <v>271.51151866666675</v>
      </c>
      <c r="AR55">
        <f t="shared" si="37"/>
        <v>345.78861777777792</v>
      </c>
    </row>
    <row r="56" spans="1:46" x14ac:dyDescent="0.2">
      <c r="R56" s="2">
        <f>R51*2*10*31.6</f>
        <v>10276.320000000002</v>
      </c>
      <c r="S56" s="2" t="s">
        <v>95</v>
      </c>
      <c r="T56" s="2">
        <f>T51*2*10*31.6</f>
        <v>9402.264000000001</v>
      </c>
      <c r="U56" s="2">
        <f t="shared" ref="U56:X56" si="38">U51*2*10*31.6</f>
        <v>10505.391208888888</v>
      </c>
      <c r="V56" s="2">
        <f t="shared" si="38"/>
        <v>7492.6493155555563</v>
      </c>
      <c r="W56" s="2">
        <f t="shared" si="38"/>
        <v>7883.9156000000021</v>
      </c>
      <c r="X56" s="2">
        <f t="shared" si="38"/>
        <v>7675.0079999999998</v>
      </c>
      <c r="Z56" s="2">
        <f>X56*0.44</f>
        <v>3377.0035199999998</v>
      </c>
      <c r="AB56">
        <v>31.6</v>
      </c>
      <c r="AL56">
        <v>1976</v>
      </c>
    </row>
    <row r="57" spans="1:46" x14ac:dyDescent="0.2">
      <c r="R57" s="2">
        <f>R52*30*31.6</f>
        <v>17703.900000000001</v>
      </c>
      <c r="S57" s="2" t="s">
        <v>172</v>
      </c>
      <c r="T57" s="2">
        <f>T52*3*10*31.6</f>
        <v>20761.199999999997</v>
      </c>
      <c r="U57" s="2">
        <f t="shared" ref="U57:X57" si="39">U52*3*10*31.6</f>
        <v>27534.438799999996</v>
      </c>
      <c r="V57" s="2">
        <f t="shared" si="39"/>
        <v>18159.22650666667</v>
      </c>
      <c r="W57" s="2">
        <f t="shared" si="39"/>
        <v>16073.023999999996</v>
      </c>
      <c r="X57" s="2">
        <f t="shared" si="39"/>
        <v>17825.507333333331</v>
      </c>
      <c r="Z57" s="2">
        <f t="shared" ref="Z57:Z59" si="40">X57*0.44</f>
        <v>7843.2232266666661</v>
      </c>
      <c r="AM57" s="2" t="s">
        <v>95</v>
      </c>
      <c r="AN57" s="2">
        <f>(AN46*2)</f>
        <v>0.17482666666666669</v>
      </c>
      <c r="AO57" s="2"/>
      <c r="AP57" s="2"/>
      <c r="AQ57" s="2"/>
      <c r="AR57" s="2"/>
      <c r="AT57" t="s">
        <v>185</v>
      </c>
    </row>
    <row r="58" spans="1:46" x14ac:dyDescent="0.2">
      <c r="A58" t="s">
        <v>81</v>
      </c>
      <c r="B58" t="s">
        <v>127</v>
      </c>
      <c r="R58" s="2">
        <f>10407*31.6</f>
        <v>328861.2</v>
      </c>
      <c r="S58" s="2" t="s">
        <v>173</v>
      </c>
      <c r="T58" s="2">
        <f>T53*10*5*31.6</f>
        <v>43420.647111111124</v>
      </c>
      <c r="U58" s="2">
        <f t="shared" ref="U58:X58" si="41">U53*10*5*31.6</f>
        <v>48955.984000000011</v>
      </c>
      <c r="V58" s="2">
        <f t="shared" si="41"/>
        <v>36896.504088888891</v>
      </c>
      <c r="W58" s="2">
        <f t="shared" si="41"/>
        <v>30420.793333333331</v>
      </c>
      <c r="X58" s="2">
        <f t="shared" si="41"/>
        <v>37160.950444444446</v>
      </c>
      <c r="Z58" s="2">
        <f t="shared" si="40"/>
        <v>16350.818195555557</v>
      </c>
      <c r="AL58">
        <v>55.2</v>
      </c>
      <c r="AM58" s="2" t="s">
        <v>118</v>
      </c>
      <c r="AN58" s="2">
        <f>AN55*AN57/AN51</f>
        <v>55.245226666666667</v>
      </c>
      <c r="AO58" s="2">
        <f>AN58*AO46/AN46</f>
        <v>47.330606399999994</v>
      </c>
      <c r="AP58" s="2">
        <f>(AP46*20*(39.9-2.7))</f>
        <v>35.676420266666661</v>
      </c>
      <c r="AQ58" s="2">
        <f>(AQ46*2*10*37.2)</f>
        <v>39.298204000000013</v>
      </c>
      <c r="AR58" s="2">
        <f>AR46*2*10*(39.9-2.7)</f>
        <v>40.992746666666669</v>
      </c>
      <c r="AT58">
        <f>97*31.6</f>
        <v>3065.2000000000003</v>
      </c>
    </row>
    <row r="59" spans="1:46" x14ac:dyDescent="0.2">
      <c r="A59" t="s">
        <v>117</v>
      </c>
      <c r="B59" t="s">
        <v>95</v>
      </c>
      <c r="C59" t="s">
        <v>129</v>
      </c>
      <c r="D59" t="s">
        <v>104</v>
      </c>
      <c r="E59" t="s">
        <v>131</v>
      </c>
      <c r="R59" s="2">
        <f>1944*31.6</f>
        <v>61430.400000000001</v>
      </c>
      <c r="S59" s="2" t="s">
        <v>104</v>
      </c>
      <c r="T59" s="2">
        <f>SUM(T56:T58)</f>
        <v>73584.111111111124</v>
      </c>
      <c r="U59" s="2">
        <f t="shared" ref="U59:X59" si="42">SUM(U56:U58)</f>
        <v>86995.814008888905</v>
      </c>
      <c r="V59" s="2">
        <f t="shared" si="42"/>
        <v>62548.379911111115</v>
      </c>
      <c r="W59" s="2">
        <f t="shared" si="42"/>
        <v>54377.732933333333</v>
      </c>
      <c r="X59" s="2">
        <f t="shared" si="42"/>
        <v>62661.465777777776</v>
      </c>
      <c r="Z59" s="2">
        <f t="shared" si="40"/>
        <v>27571.044942222223</v>
      </c>
      <c r="AM59" s="2" t="s">
        <v>191</v>
      </c>
      <c r="AN59" s="2"/>
      <c r="AO59" s="2"/>
      <c r="AP59" s="2"/>
      <c r="AQ59" s="2"/>
      <c r="AR59" s="2"/>
    </row>
    <row r="60" spans="1:46" x14ac:dyDescent="0.2">
      <c r="A60" t="s">
        <v>128</v>
      </c>
      <c r="B60" t="s">
        <v>95</v>
      </c>
      <c r="C60" t="s">
        <v>130</v>
      </c>
      <c r="D60" t="s">
        <v>104</v>
      </c>
      <c r="E60" t="s">
        <v>132</v>
      </c>
      <c r="S60" s="2"/>
      <c r="T60" s="2"/>
      <c r="U60" s="2"/>
      <c r="V60" s="2"/>
      <c r="W60" s="2"/>
      <c r="X60" s="2"/>
      <c r="AL60">
        <v>99.67</v>
      </c>
      <c r="AM60" s="2" t="s">
        <v>172</v>
      </c>
      <c r="AN60" s="2">
        <f>AN47*30*31.6</f>
        <v>121.83380000000001</v>
      </c>
      <c r="AO60" s="2">
        <f t="shared" ref="AO60:AR60" si="43">AO47*30*31.6</f>
        <v>113.71154666666666</v>
      </c>
      <c r="AP60" s="2">
        <f t="shared" si="43"/>
        <v>79.713949333333332</v>
      </c>
      <c r="AQ60" s="2">
        <f t="shared" si="43"/>
        <v>74.061973333333341</v>
      </c>
      <c r="AR60" s="2">
        <f t="shared" si="43"/>
        <v>95.763800000000003</v>
      </c>
    </row>
    <row r="61" spans="1:46" x14ac:dyDescent="0.2">
      <c r="P61">
        <v>9.4983193636674645</v>
      </c>
      <c r="Q61">
        <v>10.037734419942034</v>
      </c>
      <c r="S61" s="2"/>
      <c r="T61" s="2" t="s">
        <v>198</v>
      </c>
      <c r="U61" s="2"/>
      <c r="V61" s="2"/>
      <c r="W61" s="2"/>
      <c r="X61" s="2"/>
      <c r="AM61" s="2"/>
      <c r="AN61" s="2"/>
      <c r="AO61" s="2"/>
      <c r="AP61" s="2"/>
      <c r="AQ61" s="2"/>
      <c r="AR61" s="2"/>
    </row>
    <row r="62" spans="1:46" x14ac:dyDescent="0.2">
      <c r="A62" t="s">
        <v>133</v>
      </c>
      <c r="B62">
        <v>1976</v>
      </c>
      <c r="C62">
        <v>1988</v>
      </c>
      <c r="D62">
        <v>2002</v>
      </c>
      <c r="G62">
        <v>1976</v>
      </c>
      <c r="H62">
        <v>1988</v>
      </c>
      <c r="I62">
        <v>2002</v>
      </c>
      <c r="P62">
        <v>9.4987103086302032</v>
      </c>
      <c r="Q62">
        <v>9.6429763915474975</v>
      </c>
      <c r="S62" s="2" t="s">
        <v>95</v>
      </c>
      <c r="T62" s="2">
        <f>T56*0.44/Q61</f>
        <v>412.14441296444375</v>
      </c>
      <c r="U62" s="2">
        <f>U56*0.44/P61</f>
        <v>486.65158065672091</v>
      </c>
      <c r="V62" s="2">
        <f>V56*0.44/P61</f>
        <v>347.08937156346644</v>
      </c>
      <c r="W62" s="2">
        <f>W56*0.44/P61</f>
        <v>365.21438490151905</v>
      </c>
      <c r="X62" s="2">
        <f>X56*0.44/P61</f>
        <v>355.53695245472147</v>
      </c>
      <c r="AL62">
        <v>152</v>
      </c>
      <c r="AM62" s="2" t="s">
        <v>173</v>
      </c>
      <c r="AN62" s="2">
        <f>AN48*5*10*31.6</f>
        <v>232.96924444444454</v>
      </c>
      <c r="AO62" s="2">
        <f t="shared" ref="AO62:AR62" si="44">AO48*5*10*31.6</f>
        <v>192.32708000000008</v>
      </c>
      <c r="AP62" s="2">
        <f t="shared" si="44"/>
        <v>162.67177911111114</v>
      </c>
      <c r="AQ62" s="2">
        <f t="shared" si="44"/>
        <v>164.06720000000001</v>
      </c>
      <c r="AR62" s="2">
        <f t="shared" si="44"/>
        <v>215.20302222222227</v>
      </c>
    </row>
    <row r="63" spans="1:46" x14ac:dyDescent="0.2">
      <c r="A63" t="s">
        <v>95</v>
      </c>
      <c r="B63" t="s">
        <v>134</v>
      </c>
      <c r="C63">
        <v>69.599999999999994</v>
      </c>
      <c r="D63">
        <v>58.7</v>
      </c>
      <c r="E63" t="s">
        <v>135</v>
      </c>
      <c r="F63" t="s">
        <v>104</v>
      </c>
      <c r="G63">
        <v>345</v>
      </c>
      <c r="H63">
        <v>544</v>
      </c>
      <c r="I63">
        <v>732</v>
      </c>
      <c r="P63">
        <v>8.8683155159385212</v>
      </c>
      <c r="Q63">
        <v>9.4358758228073309</v>
      </c>
      <c r="S63" s="2" t="s">
        <v>172</v>
      </c>
      <c r="T63" s="2">
        <f>T57*0.44/Q62</f>
        <v>947.31415167698356</v>
      </c>
      <c r="U63" s="2">
        <f>U57*0.44/P62</f>
        <v>1275.4524223138571</v>
      </c>
      <c r="V63" s="2">
        <f>V57*0.44/P62</f>
        <v>841.17310701367956</v>
      </c>
      <c r="W63" s="2">
        <f>W57*0.44/P62</f>
        <v>744.53587173560834</v>
      </c>
      <c r="X63" s="2">
        <f>X57*0.44/P62</f>
        <v>825.71454142996458</v>
      </c>
      <c r="AM63" s="2"/>
      <c r="AN63" s="2"/>
      <c r="AO63" s="2"/>
      <c r="AP63" s="2"/>
      <c r="AQ63" s="2"/>
      <c r="AR63" s="2"/>
    </row>
    <row r="64" spans="1:46" x14ac:dyDescent="0.2">
      <c r="B64">
        <f>79.2*0.47</f>
        <v>37.223999999999997</v>
      </c>
      <c r="C64">
        <f>0.054*C63</f>
        <v>3.7583999999999995</v>
      </c>
      <c r="D64">
        <f>0.119*D63</f>
        <v>6.9852999999999996</v>
      </c>
      <c r="E64" t="s">
        <v>86</v>
      </c>
      <c r="G64">
        <f>0.459*G63</f>
        <v>158.35500000000002</v>
      </c>
      <c r="H64">
        <f>0.0837*H63</f>
        <v>45.532799999999995</v>
      </c>
      <c r="I64">
        <v>115</v>
      </c>
      <c r="S64" s="2" t="s">
        <v>173</v>
      </c>
      <c r="T64" s="2">
        <f>T58*0.44/Q63</f>
        <v>2024.7282910093249</v>
      </c>
      <c r="U64" s="2">
        <f>U58*0.44/P63</f>
        <v>2428.9430074162615</v>
      </c>
      <c r="V64" s="2">
        <f>V58*0.44/P63</f>
        <v>1830.6139164685596</v>
      </c>
      <c r="W64" s="2">
        <f>W58*0.44/P63</f>
        <v>1509.3226038936361</v>
      </c>
      <c r="X64" s="2">
        <f>X58*0.44/P63</f>
        <v>1843.7343784362608</v>
      </c>
      <c r="AL64">
        <v>307</v>
      </c>
      <c r="AM64" s="2" t="s">
        <v>104</v>
      </c>
      <c r="AN64" s="2">
        <f>SUM(AN58:AN62)</f>
        <v>410.04827111111121</v>
      </c>
      <c r="AO64" s="2">
        <f t="shared" ref="AO64:AR64" si="45">SUM(AO58:AO62)</f>
        <v>353.36923306666677</v>
      </c>
      <c r="AP64" s="2">
        <f t="shared" si="45"/>
        <v>278.06214871111115</v>
      </c>
      <c r="AQ64" s="2">
        <f t="shared" si="45"/>
        <v>277.42737733333337</v>
      </c>
      <c r="AR64" s="2">
        <f t="shared" si="45"/>
        <v>351.95956888888895</v>
      </c>
    </row>
    <row r="65" spans="1:59" x14ac:dyDescent="0.2">
      <c r="A65" t="s">
        <v>120</v>
      </c>
      <c r="B65">
        <v>45.6</v>
      </c>
      <c r="C65">
        <v>42.26</v>
      </c>
      <c r="D65">
        <v>28</v>
      </c>
      <c r="E65" t="s">
        <v>135</v>
      </c>
      <c r="S65" s="2" t="s">
        <v>104</v>
      </c>
      <c r="T65" s="2">
        <f>SUM(T62:T64)</f>
        <v>3384.1868556507525</v>
      </c>
      <c r="U65" s="2">
        <f>SUM(U62:U64)</f>
        <v>4191.0470103868392</v>
      </c>
      <c r="V65" s="2">
        <f>SUM(V62:V64)</f>
        <v>3018.8763950457055</v>
      </c>
      <c r="W65" s="2">
        <f>SUM(W62:W64)</f>
        <v>2619.0728605307636</v>
      </c>
      <c r="X65" s="2">
        <f>SUM(X62:X64)</f>
        <v>3024.9858723209472</v>
      </c>
      <c r="AM65" s="2"/>
      <c r="AN65" s="2"/>
      <c r="AO65" s="2" t="s">
        <v>187</v>
      </c>
      <c r="AP65" s="2" t="s">
        <v>189</v>
      </c>
      <c r="AQ65" s="2" t="s">
        <v>190</v>
      </c>
      <c r="AR65" s="2"/>
    </row>
    <row r="66" spans="1:59" x14ac:dyDescent="0.2">
      <c r="A66" t="s">
        <v>75</v>
      </c>
      <c r="B66">
        <v>8.1999999999999993</v>
      </c>
      <c r="C66">
        <v>3</v>
      </c>
      <c r="D66">
        <v>2.42</v>
      </c>
      <c r="E66" t="s">
        <v>86</v>
      </c>
      <c r="AM66" s="2" t="s">
        <v>186</v>
      </c>
      <c r="AN66" s="2" t="s">
        <v>188</v>
      </c>
      <c r="AO66" s="2"/>
      <c r="AP66" s="2"/>
      <c r="AQ66" s="2"/>
      <c r="AR66" s="2"/>
    </row>
    <row r="67" spans="1:59" x14ac:dyDescent="0.2">
      <c r="S67" s="2"/>
      <c r="T67" s="2" t="s">
        <v>199</v>
      </c>
      <c r="U67" s="2"/>
      <c r="V67" s="2"/>
      <c r="W67" s="2"/>
      <c r="X67" s="2"/>
      <c r="AM67" s="2" t="s">
        <v>95</v>
      </c>
      <c r="AN67" s="2"/>
      <c r="AO67" s="2">
        <f>(AO58-AN58)/14</f>
        <v>-0.56533001904761959</v>
      </c>
      <c r="AP67" s="2">
        <f>(AP58-AO58)/7</f>
        <v>-1.6648837333333333</v>
      </c>
      <c r="AQ67" s="2">
        <f>(AQ58-AP58)/5</f>
        <v>0.72435674666667038</v>
      </c>
      <c r="AR67" s="2">
        <f>(AR60-AQ60)/4</f>
        <v>5.4254566666666655</v>
      </c>
    </row>
    <row r="68" spans="1:59" x14ac:dyDescent="0.2">
      <c r="S68" s="2" t="s">
        <v>95</v>
      </c>
      <c r="T68" s="2">
        <v>4136.9961600000006</v>
      </c>
      <c r="U68" s="2">
        <v>4622.372131911111</v>
      </c>
      <c r="V68" s="2">
        <v>3296.7656988444446</v>
      </c>
      <c r="W68" s="2">
        <v>3468.922864000001</v>
      </c>
      <c r="X68" s="2">
        <v>3377.0035199999998</v>
      </c>
      <c r="AM68" s="2" t="s">
        <v>104</v>
      </c>
      <c r="AN68" s="2"/>
      <c r="AO68" s="2">
        <f>(AO64-AN64)/14</f>
        <v>-4.048502717460317</v>
      </c>
      <c r="AP68" s="2">
        <f>(AP64-AO64)/7</f>
        <v>-10.758154907936516</v>
      </c>
      <c r="AQ68" s="2">
        <f>(AQ64-AP64)/5</f>
        <v>-0.12695427555555625</v>
      </c>
      <c r="AR68" s="2">
        <f>(AR64-AQ64)/5</f>
        <v>14.906438311111117</v>
      </c>
    </row>
    <row r="69" spans="1:59" x14ac:dyDescent="0.2">
      <c r="A69" t="s">
        <v>1</v>
      </c>
      <c r="C69">
        <v>1938</v>
      </c>
      <c r="D69" t="s">
        <v>160</v>
      </c>
      <c r="E69">
        <v>1976</v>
      </c>
      <c r="S69" s="2" t="s">
        <v>172</v>
      </c>
      <c r="T69" s="2">
        <v>9134.9279999999981</v>
      </c>
      <c r="U69" s="2">
        <v>12115.153071999999</v>
      </c>
      <c r="V69" s="2">
        <v>7990.0596629333349</v>
      </c>
      <c r="W69" s="2">
        <v>7072.1305599999978</v>
      </c>
      <c r="X69" s="2">
        <v>7843.2232266666661</v>
      </c>
    </row>
    <row r="70" spans="1:59" x14ac:dyDescent="0.2">
      <c r="C70" t="s">
        <v>158</v>
      </c>
      <c r="D70">
        <v>20</v>
      </c>
      <c r="E70">
        <v>30</v>
      </c>
      <c r="S70" s="2" t="s">
        <v>173</v>
      </c>
      <c r="T70" s="2">
        <v>19105.084728888894</v>
      </c>
      <c r="U70" s="2">
        <v>21540.632960000006</v>
      </c>
      <c r="V70" s="2">
        <v>16234.461799111112</v>
      </c>
      <c r="W70" s="2">
        <v>13385.149066666665</v>
      </c>
      <c r="X70" s="2">
        <v>16350.818195555557</v>
      </c>
    </row>
    <row r="71" spans="1:59" x14ac:dyDescent="0.2">
      <c r="C71" t="s">
        <v>159</v>
      </c>
      <c r="D71" t="s">
        <v>161</v>
      </c>
      <c r="E71" t="s">
        <v>163</v>
      </c>
      <c r="S71" s="2" t="s">
        <v>104</v>
      </c>
      <c r="T71" s="2">
        <v>32377.008888888893</v>
      </c>
      <c r="U71" s="2">
        <v>38278.158163911117</v>
      </c>
      <c r="V71" s="2">
        <v>27521.287160888889</v>
      </c>
      <c r="W71" s="2">
        <v>23926.202490666667</v>
      </c>
      <c r="X71" s="2">
        <v>27571.044942222223</v>
      </c>
    </row>
    <row r="72" spans="1:59" x14ac:dyDescent="0.2">
      <c r="D72" t="s">
        <v>162</v>
      </c>
      <c r="E72" t="s">
        <v>164</v>
      </c>
      <c r="T72" s="2">
        <v>1988</v>
      </c>
      <c r="U72" s="2">
        <v>2002</v>
      </c>
      <c r="V72" s="2">
        <v>2009</v>
      </c>
      <c r="W72" s="2">
        <v>2014</v>
      </c>
      <c r="X72" s="2">
        <v>2018</v>
      </c>
    </row>
    <row r="73" spans="1:59" x14ac:dyDescent="0.2">
      <c r="S73" s="2"/>
      <c r="T73" s="2" t="s">
        <v>200</v>
      </c>
      <c r="U73" s="2"/>
      <c r="V73" s="2"/>
      <c r="W73" s="2"/>
      <c r="X73" s="2"/>
    </row>
    <row r="74" spans="1:59" x14ac:dyDescent="0.2">
      <c r="S74" s="2" t="s">
        <v>95</v>
      </c>
      <c r="T74" s="2">
        <v>55.245226666666667</v>
      </c>
      <c r="U74" s="2">
        <v>47.330606399999994</v>
      </c>
      <c r="V74" s="2">
        <v>35.676420266666661</v>
      </c>
      <c r="W74" s="2">
        <v>39.298204000000013</v>
      </c>
      <c r="X74" s="2">
        <v>40.992746666666669</v>
      </c>
    </row>
    <row r="75" spans="1:59" x14ac:dyDescent="0.2">
      <c r="S75" s="2" t="s">
        <v>191</v>
      </c>
      <c r="T75" s="2"/>
      <c r="U75" s="2"/>
      <c r="V75" s="2">
        <f>V74/55.2</f>
        <v>0.64631196135265689</v>
      </c>
      <c r="W75" s="2"/>
      <c r="X75" s="2"/>
      <c r="AD75">
        <v>1988</v>
      </c>
      <c r="AE75">
        <v>2002</v>
      </c>
      <c r="AF75">
        <v>2009</v>
      </c>
      <c r="AG75">
        <v>2014</v>
      </c>
      <c r="AH75">
        <v>2018</v>
      </c>
      <c r="AI75">
        <v>1988</v>
      </c>
      <c r="AJ75">
        <v>2002</v>
      </c>
      <c r="AK75">
        <v>2009</v>
      </c>
      <c r="AL75">
        <v>2014</v>
      </c>
      <c r="AM75">
        <v>2018</v>
      </c>
      <c r="AN75">
        <v>1988</v>
      </c>
      <c r="AO75">
        <v>2002</v>
      </c>
      <c r="AP75">
        <v>2009</v>
      </c>
      <c r="AQ75">
        <v>2014</v>
      </c>
      <c r="AR75">
        <v>2018</v>
      </c>
      <c r="AS75">
        <v>1988</v>
      </c>
      <c r="AT75">
        <v>2002</v>
      </c>
      <c r="AU75">
        <v>2009</v>
      </c>
      <c r="AV75">
        <v>2014</v>
      </c>
      <c r="AW75">
        <v>2018</v>
      </c>
      <c r="AX75">
        <v>1988</v>
      </c>
      <c r="AY75">
        <v>2002</v>
      </c>
      <c r="AZ75">
        <v>2009</v>
      </c>
      <c r="BA75">
        <v>2014</v>
      </c>
      <c r="BB75">
        <v>2018</v>
      </c>
      <c r="BC75">
        <v>1988</v>
      </c>
      <c r="BD75">
        <v>2002</v>
      </c>
      <c r="BE75">
        <v>2009</v>
      </c>
      <c r="BF75">
        <v>2014</v>
      </c>
      <c r="BG75">
        <v>2018</v>
      </c>
    </row>
    <row r="76" spans="1:59" x14ac:dyDescent="0.2">
      <c r="S76" s="2" t="s">
        <v>172</v>
      </c>
      <c r="T76" s="2">
        <v>121.83380000000001</v>
      </c>
      <c r="U76" s="2">
        <v>113.71154666666666</v>
      </c>
      <c r="V76" s="2">
        <v>79.713949333333332</v>
      </c>
      <c r="W76" s="2">
        <v>74.061973333333341</v>
      </c>
      <c r="X76" s="2">
        <v>95.763800000000003</v>
      </c>
      <c r="AC76" t="s">
        <v>170</v>
      </c>
      <c r="AE76" t="s">
        <v>171</v>
      </c>
      <c r="AI76" t="s">
        <v>174</v>
      </c>
      <c r="AK76" t="s">
        <v>175</v>
      </c>
      <c r="AN76" t="s">
        <v>176</v>
      </c>
      <c r="AS76" t="s">
        <v>177</v>
      </c>
      <c r="AX76" t="s">
        <v>178</v>
      </c>
      <c r="BC76" t="s">
        <v>179</v>
      </c>
    </row>
    <row r="77" spans="1:59" x14ac:dyDescent="0.2">
      <c r="S77" s="2"/>
      <c r="T77" s="2"/>
      <c r="U77" s="2"/>
      <c r="V77" s="2">
        <f>V76/T76</f>
        <v>0.65428435568235843</v>
      </c>
      <c r="W77" s="2"/>
      <c r="X77" s="2"/>
      <c r="AC77" t="s">
        <v>95</v>
      </c>
      <c r="AD77">
        <v>3.1999999999999997</v>
      </c>
      <c r="AE77">
        <v>5.4033333333333333</v>
      </c>
      <c r="AF77">
        <v>3.0133333333333336</v>
      </c>
      <c r="AG77">
        <v>3.0650000000000004</v>
      </c>
      <c r="AH77">
        <v>3.0666666666666664</v>
      </c>
      <c r="AI77">
        <v>42.266666666666673</v>
      </c>
      <c r="AJ77">
        <v>27.966666666666669</v>
      </c>
      <c r="AK77">
        <v>35.766666666666666</v>
      </c>
      <c r="AL77">
        <v>37</v>
      </c>
      <c r="AM77">
        <v>36</v>
      </c>
      <c r="AN77">
        <v>2.4833333333333334</v>
      </c>
      <c r="AO77">
        <v>1.26</v>
      </c>
      <c r="AP77">
        <v>1.4466666666666665</v>
      </c>
      <c r="AQ77">
        <v>1.5666666666666667</v>
      </c>
      <c r="AR77">
        <v>1.6333333333333335</v>
      </c>
      <c r="AS77">
        <v>74.888590604026859</v>
      </c>
      <c r="AT77">
        <v>97.661375661375672</v>
      </c>
      <c r="AU77">
        <v>108.78341013824885</v>
      </c>
      <c r="AV77">
        <v>103.91489361702128</v>
      </c>
      <c r="AW77">
        <v>96.979591836734684</v>
      </c>
      <c r="AX77">
        <v>13.513513513513514</v>
      </c>
      <c r="AY77">
        <v>10.239462563658034</v>
      </c>
      <c r="AZ77">
        <v>9.1925781580953991</v>
      </c>
      <c r="BA77">
        <v>9.6232596232596226</v>
      </c>
      <c r="BB77">
        <v>10.311447811447813</v>
      </c>
      <c r="BC77">
        <v>8.7413333333333343E-2</v>
      </c>
      <c r="BD77">
        <v>7.4890200000000004E-2</v>
      </c>
      <c r="BE77">
        <v>4.7952177777777778E-2</v>
      </c>
      <c r="BF77">
        <v>5.2820166666666682E-2</v>
      </c>
      <c r="BG77">
        <v>5.5097777777777794E-2</v>
      </c>
    </row>
    <row r="78" spans="1:59" x14ac:dyDescent="0.2">
      <c r="S78" s="2" t="s">
        <v>173</v>
      </c>
      <c r="T78" s="2">
        <v>232.96924444444454</v>
      </c>
      <c r="U78" s="2">
        <v>192.32708000000008</v>
      </c>
      <c r="V78" s="2">
        <v>162.67177911111114</v>
      </c>
      <c r="W78" s="2">
        <v>164.06720000000001</v>
      </c>
      <c r="X78" s="2">
        <v>215.20302222222227</v>
      </c>
      <c r="AC78" t="s">
        <v>172</v>
      </c>
      <c r="AD78">
        <v>5</v>
      </c>
      <c r="AE78">
        <v>11.683333333333332</v>
      </c>
      <c r="AF78">
        <v>5.5933333333333337</v>
      </c>
      <c r="AG78">
        <v>4.5333333333333332</v>
      </c>
      <c r="AH78">
        <v>4.833333333333333</v>
      </c>
      <c r="AI78">
        <v>39.833333333333336</v>
      </c>
      <c r="AJ78">
        <v>22.599999999999998</v>
      </c>
      <c r="AK78">
        <v>31.133333333333329</v>
      </c>
      <c r="AL78">
        <v>34</v>
      </c>
      <c r="AM78">
        <v>35.366666666666667</v>
      </c>
      <c r="AN78">
        <v>2.3366666666666664</v>
      </c>
      <c r="AO78">
        <v>0.93333333333333324</v>
      </c>
      <c r="AP78">
        <v>1.3666666666666665</v>
      </c>
      <c r="AQ78">
        <v>1.5666666666666667</v>
      </c>
      <c r="AR78">
        <v>1.9000000000000001</v>
      </c>
      <c r="AS78">
        <v>75.007132667617697</v>
      </c>
      <c r="AT78">
        <v>106.54285714285714</v>
      </c>
      <c r="AU78">
        <v>100.23414634146341</v>
      </c>
      <c r="AV78">
        <v>95.489361702127681</v>
      </c>
      <c r="AW78">
        <v>81.901754385964907</v>
      </c>
      <c r="AX78">
        <v>13.513513513513514</v>
      </c>
      <c r="AY78">
        <v>9.3858943416465532</v>
      </c>
      <c r="AZ78">
        <v>9.9766400622931677</v>
      </c>
      <c r="BA78">
        <v>10.472370766488412</v>
      </c>
      <c r="BB78">
        <v>12.209750664039072</v>
      </c>
      <c r="BC78">
        <v>0.12851666666666667</v>
      </c>
      <c r="BD78">
        <v>0.11994888888888888</v>
      </c>
      <c r="BE78">
        <v>8.4086444444444436E-2</v>
      </c>
      <c r="BF78">
        <v>7.8124444444444455E-2</v>
      </c>
      <c r="BG78">
        <v>0.10101666666666667</v>
      </c>
    </row>
    <row r="79" spans="1:59" x14ac:dyDescent="0.2">
      <c r="S79" s="2"/>
      <c r="T79" s="2"/>
      <c r="U79" s="2"/>
      <c r="V79" s="2">
        <f>V78/T78</f>
        <v>0.69825431034482743</v>
      </c>
      <c r="W79" s="2"/>
      <c r="X79" s="2"/>
      <c r="AC79" t="s">
        <v>173</v>
      </c>
      <c r="AD79">
        <v>6.9333333333333336</v>
      </c>
      <c r="AE79">
        <v>16.766666666666669</v>
      </c>
      <c r="AF79">
        <v>7.8433333333333337</v>
      </c>
      <c r="AG79">
        <v>5.8999999999999995</v>
      </c>
      <c r="AH79">
        <v>6.6333333333333329</v>
      </c>
      <c r="AI79">
        <v>36.033333333333339</v>
      </c>
      <c r="AJ79">
        <v>16.8</v>
      </c>
      <c r="AK79">
        <v>27.066666666666666</v>
      </c>
      <c r="AL79">
        <v>29.666666666666668</v>
      </c>
      <c r="AM79">
        <v>32.233333333333334</v>
      </c>
      <c r="AN79">
        <v>1.9333333333333336</v>
      </c>
      <c r="AO79">
        <v>0.66</v>
      </c>
      <c r="AP79">
        <v>1.1933333333333334</v>
      </c>
      <c r="AQ79">
        <v>1.6</v>
      </c>
      <c r="AR79">
        <v>1.8666666666666669</v>
      </c>
      <c r="AS79">
        <v>82.006896551724154</v>
      </c>
      <c r="AT79">
        <v>112.00000000000001</v>
      </c>
      <c r="AU79">
        <v>99.798882681564251</v>
      </c>
      <c r="AV79">
        <v>81.583333333333343</v>
      </c>
      <c r="AW79">
        <v>75.978571428571428</v>
      </c>
      <c r="AX79">
        <v>13.513513513513514</v>
      </c>
      <c r="AY79">
        <v>8.928571428571427</v>
      </c>
      <c r="AZ79">
        <v>10.020152261531571</v>
      </c>
      <c r="BA79">
        <v>12.257405515832481</v>
      </c>
      <c r="BB79">
        <v>13.161605715897339</v>
      </c>
      <c r="BC79">
        <v>0.14744888888888893</v>
      </c>
      <c r="BD79">
        <v>0.12172600000000004</v>
      </c>
      <c r="BE79">
        <v>0.10295682222222224</v>
      </c>
      <c r="BF79">
        <v>0.10384</v>
      </c>
      <c r="BG79">
        <v>0.13620444444444446</v>
      </c>
    </row>
    <row r="80" spans="1:59" x14ac:dyDescent="0.2">
      <c r="S80" s="2" t="s">
        <v>104</v>
      </c>
      <c r="T80" s="2">
        <v>410.04827111111121</v>
      </c>
      <c r="U80" s="2">
        <v>353.36923306666677</v>
      </c>
      <c r="V80" s="2">
        <v>278.06214871111115</v>
      </c>
      <c r="W80" s="2">
        <v>277.42737733333337</v>
      </c>
      <c r="X80" s="2">
        <v>351.95956888888895</v>
      </c>
    </row>
    <row r="82" spans="20:80" x14ac:dyDescent="0.2">
      <c r="T82">
        <f>(T80-V80)/21</f>
        <v>6.2850534476190507</v>
      </c>
      <c r="AD82">
        <v>1988</v>
      </c>
      <c r="AE82">
        <v>1993</v>
      </c>
      <c r="AN82">
        <v>1993</v>
      </c>
      <c r="BL82">
        <v>1</v>
      </c>
      <c r="BM82">
        <v>2</v>
      </c>
      <c r="BN82" t="s">
        <v>454</v>
      </c>
      <c r="BP82" t="s">
        <v>453</v>
      </c>
      <c r="BQ82" t="s">
        <v>455</v>
      </c>
      <c r="BR82" t="s">
        <v>456</v>
      </c>
      <c r="BS82" t="s">
        <v>457</v>
      </c>
      <c r="BU82" t="s">
        <v>300</v>
      </c>
      <c r="BV82" t="s">
        <v>302</v>
      </c>
    </row>
    <row r="83" spans="20:80" x14ac:dyDescent="0.2">
      <c r="T83" t="s">
        <v>225</v>
      </c>
      <c r="V83" t="s">
        <v>224</v>
      </c>
      <c r="Z83" t="s">
        <v>103</v>
      </c>
      <c r="AC83" t="s">
        <v>170</v>
      </c>
      <c r="AE83" t="s">
        <v>279</v>
      </c>
      <c r="AH83" t="s">
        <v>280</v>
      </c>
      <c r="AK83" t="s">
        <v>52</v>
      </c>
      <c r="AN83" t="s">
        <v>50</v>
      </c>
      <c r="AP83" t="s">
        <v>288</v>
      </c>
      <c r="AQ83" t="s">
        <v>286</v>
      </c>
      <c r="AT83" t="s">
        <v>281</v>
      </c>
      <c r="AW83" t="s">
        <v>282</v>
      </c>
      <c r="AZ83" t="s">
        <v>283</v>
      </c>
      <c r="BC83" t="s">
        <v>284</v>
      </c>
      <c r="BF83" t="s">
        <v>287</v>
      </c>
      <c r="BG83" t="s">
        <v>289</v>
      </c>
      <c r="BH83" t="s">
        <v>303</v>
      </c>
      <c r="BJ83" t="s">
        <v>449</v>
      </c>
      <c r="BK83" t="s">
        <v>450</v>
      </c>
      <c r="BL83" t="s">
        <v>452</v>
      </c>
      <c r="BM83" t="s">
        <v>451</v>
      </c>
      <c r="BN83" t="s">
        <v>453</v>
      </c>
      <c r="BO83" t="s">
        <v>453</v>
      </c>
      <c r="BP83" s="2" t="s">
        <v>135</v>
      </c>
      <c r="BQ83" t="s">
        <v>135</v>
      </c>
      <c r="BR83" t="s">
        <v>414</v>
      </c>
      <c r="BS83" t="s">
        <v>414</v>
      </c>
      <c r="BU83" t="s">
        <v>50</v>
      </c>
      <c r="BV83" t="s">
        <v>299</v>
      </c>
      <c r="BY83" t="s">
        <v>103</v>
      </c>
    </row>
    <row r="84" spans="20:80" x14ac:dyDescent="0.2">
      <c r="Y84" t="s">
        <v>193</v>
      </c>
      <c r="Z84">
        <f>(AA84+AB84)</f>
        <v>0.31341420000000003</v>
      </c>
      <c r="AA84">
        <f>1.1*AE84/100*AO84</f>
        <v>0.21057300000000001</v>
      </c>
      <c r="AB84">
        <f>1.1*AF84/100*AN84</f>
        <v>0.10284120000000001</v>
      </c>
      <c r="AC84" t="s">
        <v>95</v>
      </c>
      <c r="AD84">
        <v>3.1999999999999997</v>
      </c>
      <c r="AE84">
        <v>13.5</v>
      </c>
      <c r="AF84">
        <v>19.600000000000001</v>
      </c>
      <c r="AH84">
        <v>32.299999999999997</v>
      </c>
      <c r="AI84">
        <v>7.2</v>
      </c>
      <c r="AK84">
        <v>16.600000000000001</v>
      </c>
      <c r="AL84">
        <v>4.18</v>
      </c>
      <c r="AN84">
        <v>0.47699999999999998</v>
      </c>
      <c r="AO84">
        <v>1.4179999999999999</v>
      </c>
      <c r="AP84">
        <f>AVERAGE(AN84:AO84)</f>
        <v>0.94750000000000001</v>
      </c>
      <c r="AQ84">
        <v>0.59499999999999997</v>
      </c>
      <c r="AR84">
        <v>0.17499999999999999</v>
      </c>
      <c r="AT84">
        <v>0.42699999999999999</v>
      </c>
      <c r="AU84">
        <v>0.223</v>
      </c>
      <c r="AW84">
        <v>0.219</v>
      </c>
      <c r="AX84">
        <v>3.5999999999999997E-2</v>
      </c>
      <c r="AZ84">
        <v>5.7000000000000002E-2</v>
      </c>
      <c r="BA84">
        <v>0.126</v>
      </c>
      <c r="BB84">
        <v>1.4E-2</v>
      </c>
      <c r="BC84">
        <v>1.4E-2</v>
      </c>
      <c r="BD84">
        <v>2.9000000000000001E-2</v>
      </c>
      <c r="BF84">
        <f>SUM(AQ84:BD84)</f>
        <v>1.915</v>
      </c>
      <c r="BG84">
        <f>BF84/2</f>
        <v>0.95750000000000002</v>
      </c>
      <c r="BH84">
        <f>BG84/AP84</f>
        <v>1.0105540897097625</v>
      </c>
      <c r="BJ84">
        <f t="shared" ref="BJ84:BJ89" si="46">AQ84+AT84+AW84+AZ84+BC84</f>
        <v>1.3120000000000001</v>
      </c>
      <c r="BK84">
        <f>AR84+AU84+AX84+BA84+BD85</f>
        <v>0.58400000000000007</v>
      </c>
      <c r="BL84">
        <f t="shared" ref="BL84:BM89" si="47">AW84+AZ84</f>
        <v>0.27600000000000002</v>
      </c>
      <c r="BM84">
        <f t="shared" si="47"/>
        <v>0.16200000000000001</v>
      </c>
      <c r="BN84">
        <f>BL84*100/BJ84</f>
        <v>21.036585365853657</v>
      </c>
      <c r="BO84">
        <f>BM84*100/BK84</f>
        <v>27.739726027397257</v>
      </c>
      <c r="BP84" s="2">
        <f>AVERAGE(BN84:BO84)</f>
        <v>24.388155696625457</v>
      </c>
      <c r="BQ84" s="2">
        <f>(AQ84+AR84)*100/(BF84+BG84)</f>
        <v>26.8059181897302</v>
      </c>
      <c r="BR84" s="2">
        <f>0.5*(AT84/BJ84+AU84/BK84)</f>
        <v>0.35365331607083195</v>
      </c>
      <c r="BS84" s="2">
        <f>0.5*(BC84/BJ84+BD84/BK84)</f>
        <v>3.0164132976946208E-2</v>
      </c>
      <c r="BV84">
        <v>0.21057300000000001</v>
      </c>
      <c r="BW84">
        <v>0.10284120000000001</v>
      </c>
      <c r="BX84" t="s">
        <v>193</v>
      </c>
      <c r="BY84">
        <v>0.31341420000000003</v>
      </c>
      <c r="CB84">
        <f>BY84*10*31.6</f>
        <v>99.038887200000005</v>
      </c>
    </row>
    <row r="85" spans="20:80" x14ac:dyDescent="0.2">
      <c r="Y85" s="1" t="s">
        <v>194</v>
      </c>
      <c r="Z85">
        <f>1.5*(AA85+AB85)</f>
        <v>0.25132800000000005</v>
      </c>
      <c r="AA85">
        <f>1.1*AE85*AN85/100</f>
        <v>5.3715200000000012E-2</v>
      </c>
      <c r="AB85">
        <f>1.1*0.231*AN85</f>
        <v>0.11383680000000003</v>
      </c>
      <c r="AC85" t="s">
        <v>172</v>
      </c>
      <c r="AD85">
        <v>5</v>
      </c>
      <c r="AE85">
        <v>10.9</v>
      </c>
      <c r="AF85">
        <v>23.1</v>
      </c>
      <c r="AH85">
        <v>8.52</v>
      </c>
      <c r="AI85">
        <v>18</v>
      </c>
      <c r="AK85">
        <v>5.05</v>
      </c>
      <c r="AL85">
        <v>10.6</v>
      </c>
      <c r="AN85">
        <v>0.44800000000000001</v>
      </c>
      <c r="AO85">
        <v>0.7</v>
      </c>
      <c r="AP85">
        <f t="shared" ref="AP85:AP89" si="48">AVERAGE(AN85:AO85)</f>
        <v>0.57399999999999995</v>
      </c>
      <c r="AQ85">
        <v>0.32100000000000001</v>
      </c>
      <c r="AR85">
        <v>0.20100000000000001</v>
      </c>
      <c r="AT85">
        <v>0.253</v>
      </c>
      <c r="AU85">
        <v>0.191</v>
      </c>
      <c r="AW85">
        <v>7.4999999999999997E-2</v>
      </c>
      <c r="AX85">
        <v>3.6999999999999998E-2</v>
      </c>
      <c r="AZ85">
        <v>1.0999999999999999E-2</v>
      </c>
      <c r="BA85">
        <v>2.8000000000000001E-2</v>
      </c>
      <c r="BC85">
        <v>8.9999999999999993E-3</v>
      </c>
      <c r="BD85">
        <v>2.4E-2</v>
      </c>
      <c r="BF85">
        <f t="shared" ref="BF85:BF89" si="49">SUM(AQ85:BD85)</f>
        <v>1.1499999999999997</v>
      </c>
      <c r="BG85">
        <f>BF85/2</f>
        <v>0.57499999999999984</v>
      </c>
      <c r="BH85">
        <f t="shared" ref="BH85:BH89" si="50">BG85/AP85</f>
        <v>1.0017421602787455</v>
      </c>
      <c r="BJ85">
        <f t="shared" si="46"/>
        <v>0.66900000000000004</v>
      </c>
      <c r="BK85">
        <f>AR85+AU85+AX85+BA85+BD85</f>
        <v>0.48100000000000004</v>
      </c>
      <c r="BL85">
        <f t="shared" si="47"/>
        <v>8.5999999999999993E-2</v>
      </c>
      <c r="BM85">
        <f t="shared" si="47"/>
        <v>6.5000000000000002E-2</v>
      </c>
      <c r="BN85">
        <f t="shared" ref="BN85:BN89" si="51">BL85*100/BJ85</f>
        <v>12.855007473841553</v>
      </c>
      <c r="BO85">
        <f t="shared" ref="BO85:BO89" si="52">BM85*100/BK85</f>
        <v>13.513513513513512</v>
      </c>
      <c r="BP85" s="2">
        <f t="shared" ref="BP85:BP89" si="53">AVERAGE(BN85:BO85)</f>
        <v>13.184260493677533</v>
      </c>
      <c r="BQ85" s="2">
        <f t="shared" ref="BQ85:BQ89" si="54">(AQ85+AR85)*100/(BF85+BG85)</f>
        <v>30.260869565217398</v>
      </c>
      <c r="BR85" s="2">
        <f t="shared" ref="BR85:BR89" si="55">0.5*(AT85/BJ85+AU85/BK85)</f>
        <v>0.3876328898750423</v>
      </c>
      <c r="BS85" s="2">
        <f t="shared" ref="BS85:BS89" si="56">0.5*(BC85/BJ85+BD85/BK85)</f>
        <v>3.1674482347128087E-2</v>
      </c>
      <c r="BV85">
        <v>5.3715200000000012E-2</v>
      </c>
      <c r="BW85">
        <v>0.11383680000000003</v>
      </c>
      <c r="BX85" s="1" t="s">
        <v>194</v>
      </c>
      <c r="BY85">
        <v>0.25132800000000005</v>
      </c>
      <c r="BZ85" t="s">
        <v>294</v>
      </c>
      <c r="CA85">
        <f>BY84+BY85</f>
        <v>0.56474220000000008</v>
      </c>
      <c r="CB85">
        <f>10*31.6*CA85</f>
        <v>178.45853520000003</v>
      </c>
    </row>
    <row r="86" spans="20:80" x14ac:dyDescent="0.2">
      <c r="Y86" s="1" t="s">
        <v>298</v>
      </c>
      <c r="Z86">
        <f>2.5*(AA86+AB86)</f>
        <v>0.45684924999999998</v>
      </c>
      <c r="AA86">
        <f>1.1*AE86*AO86/100</f>
        <v>9.0059199999999992E-2</v>
      </c>
      <c r="AB86">
        <f>1.1*AF86*AN86/100</f>
        <v>9.2680500000000027E-2</v>
      </c>
      <c r="AC86" t="s">
        <v>173</v>
      </c>
      <c r="AD86">
        <v>6.9333333333333336</v>
      </c>
      <c r="AE86">
        <v>13.6</v>
      </c>
      <c r="AF86">
        <v>12.3</v>
      </c>
      <c r="AH86">
        <v>20.100000000000001</v>
      </c>
      <c r="AI86">
        <v>21.2</v>
      </c>
      <c r="AK86">
        <v>12.6</v>
      </c>
      <c r="AL86">
        <v>11.8</v>
      </c>
      <c r="AN86">
        <v>0.68500000000000005</v>
      </c>
      <c r="AO86">
        <v>0.60199999999999998</v>
      </c>
      <c r="AP86">
        <f t="shared" si="48"/>
        <v>0.64349999999999996</v>
      </c>
      <c r="AQ86">
        <v>0.27900000000000003</v>
      </c>
      <c r="AR86">
        <v>0.311</v>
      </c>
      <c r="AT86">
        <v>0.23300000000000001</v>
      </c>
      <c r="AU86">
        <v>0.25700000000000001</v>
      </c>
      <c r="AW86">
        <v>7.3999999999999996E-2</v>
      </c>
      <c r="AX86">
        <v>0.09</v>
      </c>
      <c r="AZ86">
        <v>1.9E-2</v>
      </c>
      <c r="BA86">
        <v>1.6E-2</v>
      </c>
      <c r="BC86">
        <v>8.0000000000000002E-3</v>
      </c>
      <c r="BD86">
        <v>5.0000000000000001E-3</v>
      </c>
      <c r="BF86">
        <f t="shared" si="49"/>
        <v>1.292</v>
      </c>
      <c r="BG86">
        <f>BF86/2</f>
        <v>0.64600000000000002</v>
      </c>
      <c r="BH86">
        <f t="shared" si="50"/>
        <v>1.003885003885004</v>
      </c>
      <c r="BJ86">
        <f t="shared" si="46"/>
        <v>0.61299999999999999</v>
      </c>
      <c r="BK86">
        <f>AR86+AU86+AX86+BA86+BD86</f>
        <v>0.67900000000000005</v>
      </c>
      <c r="BL86">
        <f t="shared" si="47"/>
        <v>9.2999999999999999E-2</v>
      </c>
      <c r="BM86">
        <f t="shared" si="47"/>
        <v>0.106</v>
      </c>
      <c r="BN86">
        <f t="shared" si="51"/>
        <v>15.171288743882545</v>
      </c>
      <c r="BO86">
        <f t="shared" si="52"/>
        <v>15.611192930780557</v>
      </c>
      <c r="BP86" s="2">
        <f t="shared" si="53"/>
        <v>15.391240837331551</v>
      </c>
      <c r="BQ86" s="2">
        <f t="shared" si="54"/>
        <v>30.443756449948403</v>
      </c>
      <c r="BR86" s="2">
        <f t="shared" si="55"/>
        <v>0.37929783507557174</v>
      </c>
      <c r="BS86" s="2">
        <f t="shared" si="56"/>
        <v>1.0207170606423899E-2</v>
      </c>
      <c r="BV86">
        <v>9.0059199999999992E-2</v>
      </c>
      <c r="BW86">
        <v>9.2680500000000027E-2</v>
      </c>
      <c r="BX86" s="1" t="s">
        <v>298</v>
      </c>
      <c r="BY86">
        <v>0.45684924999999998</v>
      </c>
      <c r="BZ86" t="s">
        <v>104</v>
      </c>
      <c r="CA86">
        <f>CA85+BY86</f>
        <v>1.0215914500000001</v>
      </c>
      <c r="CB86">
        <f>10*31.6*CA86</f>
        <v>322.8228982</v>
      </c>
    </row>
    <row r="87" spans="20:80" x14ac:dyDescent="0.2">
      <c r="Y87" s="8" t="s">
        <v>297</v>
      </c>
      <c r="Z87">
        <f>5*(AA87+AB87)</f>
        <v>1.2820500000000001</v>
      </c>
      <c r="AA87">
        <f>1.1*AE87*AN87/100</f>
        <v>0.12222210000000003</v>
      </c>
      <c r="AB87">
        <f>1.1*AF87*AN87/100</f>
        <v>0.1341879</v>
      </c>
      <c r="AC87" s="8" t="s">
        <v>285</v>
      </c>
      <c r="AE87">
        <v>14.3</v>
      </c>
      <c r="AF87">
        <v>15.7</v>
      </c>
      <c r="AH87">
        <v>20.3</v>
      </c>
      <c r="AI87">
        <v>21.6</v>
      </c>
      <c r="AK87">
        <v>11.8</v>
      </c>
      <c r="AL87">
        <v>13</v>
      </c>
      <c r="AN87">
        <v>0.77700000000000002</v>
      </c>
      <c r="AO87">
        <v>0.65</v>
      </c>
      <c r="AP87">
        <f t="shared" si="48"/>
        <v>0.71350000000000002</v>
      </c>
      <c r="AQ87">
        <v>0.27800000000000002</v>
      </c>
      <c r="AR87">
        <v>0.378</v>
      </c>
      <c r="AT87">
        <v>0.27100000000000002</v>
      </c>
      <c r="AU87">
        <v>0.121</v>
      </c>
      <c r="AW87">
        <v>9.9000000000000005E-2</v>
      </c>
      <c r="AX87">
        <v>4.3999999999999997E-2</v>
      </c>
      <c r="AZ87">
        <v>6.0000000000000001E-3</v>
      </c>
      <c r="BA87">
        <v>1.2999999999999999E-2</v>
      </c>
      <c r="BC87">
        <v>5.0000000000000001E-3</v>
      </c>
      <c r="BD87">
        <v>2.8000000000000001E-2</v>
      </c>
      <c r="BF87">
        <f t="shared" si="49"/>
        <v>1.2429999999999999</v>
      </c>
      <c r="BG87">
        <f>BF87/2</f>
        <v>0.62149999999999994</v>
      </c>
      <c r="BH87">
        <f t="shared" si="50"/>
        <v>0.87105816398037827</v>
      </c>
      <c r="BJ87">
        <f t="shared" si="46"/>
        <v>0.65900000000000003</v>
      </c>
      <c r="BK87">
        <f>AR87+AU87+AX87+BA87+BD87</f>
        <v>0.58400000000000007</v>
      </c>
      <c r="BL87">
        <f t="shared" si="47"/>
        <v>0.10500000000000001</v>
      </c>
      <c r="BM87">
        <f t="shared" si="47"/>
        <v>5.6999999999999995E-2</v>
      </c>
      <c r="BN87">
        <f t="shared" si="51"/>
        <v>15.933232169954479</v>
      </c>
      <c r="BO87">
        <f t="shared" si="52"/>
        <v>9.7602739726027377</v>
      </c>
      <c r="BP87" s="2">
        <f t="shared" si="53"/>
        <v>12.846753071278609</v>
      </c>
      <c r="BQ87" s="2">
        <f t="shared" si="54"/>
        <v>35.183695360686521</v>
      </c>
      <c r="BR87" s="2">
        <f t="shared" si="55"/>
        <v>0.30921045793751428</v>
      </c>
      <c r="BS87" s="2">
        <f t="shared" si="56"/>
        <v>2.7766229446858044E-2</v>
      </c>
      <c r="BV87">
        <v>0.12222210000000003</v>
      </c>
      <c r="BW87">
        <v>0.1341879</v>
      </c>
      <c r="BX87" s="8" t="s">
        <v>297</v>
      </c>
      <c r="BY87">
        <v>1.2820500000000001</v>
      </c>
      <c r="BZ87" t="s">
        <v>295</v>
      </c>
      <c r="CA87">
        <f>CA86+BY87</f>
        <v>2.3036414500000002</v>
      </c>
      <c r="CB87">
        <f>316*CA87</f>
        <v>727.95069820000003</v>
      </c>
    </row>
    <row r="88" spans="20:80" x14ac:dyDescent="0.2">
      <c r="Y88" t="s">
        <v>277</v>
      </c>
      <c r="Z88">
        <f>5*(AA88+AB88)</f>
        <v>1.4926065000000002</v>
      </c>
      <c r="AA88">
        <f>1.1*AE88*AO88/100</f>
        <v>0.16476350000000001</v>
      </c>
      <c r="AB88">
        <f>1.1*AF88*AN88/100</f>
        <v>0.13375780000000004</v>
      </c>
      <c r="AC88" t="s">
        <v>277</v>
      </c>
      <c r="AE88">
        <v>14.5</v>
      </c>
      <c r="AF88">
        <v>16.3</v>
      </c>
      <c r="AH88">
        <v>21.5</v>
      </c>
      <c r="AI88">
        <v>26.2</v>
      </c>
      <c r="AK88">
        <v>12.5</v>
      </c>
      <c r="AL88">
        <v>14.8</v>
      </c>
      <c r="AN88">
        <v>0.746</v>
      </c>
      <c r="AO88">
        <v>1.0329999999999999</v>
      </c>
      <c r="AP88">
        <f t="shared" si="48"/>
        <v>0.88949999999999996</v>
      </c>
      <c r="AQ88">
        <v>0.27500000000000002</v>
      </c>
      <c r="AR88">
        <v>0.33800000000000002</v>
      </c>
      <c r="AT88">
        <v>0.24</v>
      </c>
      <c r="AU88">
        <v>0.24</v>
      </c>
      <c r="AW88">
        <v>3.6200000000000003E-2</v>
      </c>
      <c r="AX88">
        <v>0.12</v>
      </c>
      <c r="AZ88">
        <v>0.02</v>
      </c>
      <c r="BA88">
        <v>0.01</v>
      </c>
      <c r="BC88">
        <v>3.6999999999999998E-2</v>
      </c>
      <c r="BD88">
        <v>3.6600000000000001E-2</v>
      </c>
      <c r="BF88">
        <f t="shared" si="49"/>
        <v>1.3528</v>
      </c>
      <c r="BG88">
        <f>(BF88+AT88)/2</f>
        <v>0.7964</v>
      </c>
      <c r="BH88">
        <f t="shared" si="50"/>
        <v>0.89533445756042729</v>
      </c>
      <c r="BJ88">
        <f t="shared" si="46"/>
        <v>0.60820000000000007</v>
      </c>
      <c r="BK88">
        <f>AR88+AU88+AX88+BA88+BD88</f>
        <v>0.74460000000000004</v>
      </c>
      <c r="BL88">
        <f t="shared" si="47"/>
        <v>5.62E-2</v>
      </c>
      <c r="BM88">
        <f t="shared" si="47"/>
        <v>0.13</v>
      </c>
      <c r="BN88">
        <f t="shared" si="51"/>
        <v>9.2403814534692525</v>
      </c>
      <c r="BO88">
        <f t="shared" si="52"/>
        <v>17.459038409884499</v>
      </c>
      <c r="BP88" s="2">
        <f t="shared" si="53"/>
        <v>13.349709931676877</v>
      </c>
      <c r="BQ88" s="2">
        <f t="shared" si="54"/>
        <v>28.522240833798623</v>
      </c>
      <c r="BR88" s="2">
        <f t="shared" si="55"/>
        <v>0.35846387313219463</v>
      </c>
      <c r="BS88" s="2">
        <f t="shared" si="56"/>
        <v>5.499457985029204E-2</v>
      </c>
      <c r="BV88">
        <v>0.16476350000000001</v>
      </c>
      <c r="BW88">
        <v>0.13375780000000004</v>
      </c>
      <c r="BX88" t="s">
        <v>277</v>
      </c>
      <c r="BY88">
        <v>1.4926065000000002</v>
      </c>
      <c r="BZ88" t="s">
        <v>296</v>
      </c>
      <c r="CA88">
        <f>CA87+BY88</f>
        <v>3.7962479500000006</v>
      </c>
      <c r="CB88">
        <f t="shared" ref="CB88:CB89" si="57">316*CA88</f>
        <v>1199.6143522000002</v>
      </c>
    </row>
    <row r="89" spans="20:80" x14ac:dyDescent="0.2">
      <c r="Y89" t="s">
        <v>290</v>
      </c>
      <c r="Z89">
        <f>5*(AA89+AB89)</f>
        <v>1.4642630000000001</v>
      </c>
      <c r="AA89">
        <v>0.183</v>
      </c>
      <c r="AB89">
        <f>1.1*AF89*AN89/100</f>
        <v>0.10985260000000001</v>
      </c>
      <c r="AC89" t="s">
        <v>278</v>
      </c>
      <c r="AE89">
        <v>13.5</v>
      </c>
      <c r="AF89">
        <v>16.7</v>
      </c>
      <c r="AH89">
        <v>31.9</v>
      </c>
      <c r="AI89">
        <v>22.8</v>
      </c>
      <c r="AK89">
        <v>13.1</v>
      </c>
      <c r="AL89">
        <v>17.399999999999999</v>
      </c>
      <c r="AN89">
        <v>0.59799999999999998</v>
      </c>
      <c r="AO89">
        <v>1.2330000000000001</v>
      </c>
      <c r="AP89">
        <f t="shared" si="48"/>
        <v>0.91549999999999998</v>
      </c>
      <c r="AQ89">
        <v>0.38400000000000001</v>
      </c>
      <c r="AR89">
        <v>0.374</v>
      </c>
      <c r="AT89">
        <v>0.22500000000000001</v>
      </c>
      <c r="AU89">
        <v>0.19</v>
      </c>
      <c r="AW89">
        <v>5.1999999999999998E-2</v>
      </c>
      <c r="AX89">
        <v>0.09</v>
      </c>
      <c r="AZ89">
        <v>8.9999999999999993E-3</v>
      </c>
      <c r="BA89">
        <v>1.9E-2</v>
      </c>
      <c r="BC89">
        <v>1.26E-2</v>
      </c>
      <c r="BD89">
        <v>5.0000000000000001E-3</v>
      </c>
      <c r="BF89">
        <f t="shared" si="49"/>
        <v>1.3605999999999998</v>
      </c>
      <c r="BG89">
        <f>BF89/2</f>
        <v>0.6802999999999999</v>
      </c>
      <c r="BH89">
        <f t="shared" si="50"/>
        <v>0.7430912069907154</v>
      </c>
      <c r="BJ89">
        <f t="shared" si="46"/>
        <v>0.6826000000000001</v>
      </c>
      <c r="BK89">
        <f>AR89+AU89+AX89+BA89+BD89</f>
        <v>0.67800000000000005</v>
      </c>
      <c r="BL89">
        <f t="shared" si="47"/>
        <v>6.0999999999999999E-2</v>
      </c>
      <c r="BM89">
        <f t="shared" si="47"/>
        <v>0.109</v>
      </c>
      <c r="BN89">
        <f t="shared" si="51"/>
        <v>8.9364195722238478</v>
      </c>
      <c r="BO89">
        <f t="shared" si="52"/>
        <v>16.076696165191741</v>
      </c>
      <c r="BP89" s="2">
        <f t="shared" si="53"/>
        <v>12.506557868707795</v>
      </c>
      <c r="BQ89" s="2">
        <f t="shared" si="54"/>
        <v>37.14047724043315</v>
      </c>
      <c r="BR89" s="2">
        <f t="shared" si="55"/>
        <v>0.30492901080114465</v>
      </c>
      <c r="BS89" s="2">
        <f t="shared" si="56"/>
        <v>1.2916732569465871E-2</v>
      </c>
      <c r="BV89">
        <v>0.183</v>
      </c>
      <c r="BW89">
        <v>0.10985260000000001</v>
      </c>
      <c r="BX89" t="s">
        <v>290</v>
      </c>
      <c r="BY89">
        <v>1.4642630000000001</v>
      </c>
      <c r="BZ89" t="s">
        <v>301</v>
      </c>
      <c r="CA89">
        <f>CA88+BY89</f>
        <v>5.2605109500000005</v>
      </c>
      <c r="CB89">
        <f t="shared" si="57"/>
        <v>1662.3214602</v>
      </c>
    </row>
    <row r="90" spans="20:80" x14ac:dyDescent="0.2">
      <c r="AJ90" t="s">
        <v>86</v>
      </c>
      <c r="AK90" t="s">
        <v>108</v>
      </c>
      <c r="AL90" t="s">
        <v>108</v>
      </c>
      <c r="AM90" t="s">
        <v>135</v>
      </c>
      <c r="AN90" t="s">
        <v>110</v>
      </c>
      <c r="AO90" t="s">
        <v>110</v>
      </c>
      <c r="AP90" t="s">
        <v>135</v>
      </c>
      <c r="AR90" t="s">
        <v>237</v>
      </c>
      <c r="AU90" t="s">
        <v>237</v>
      </c>
      <c r="AX90" t="s">
        <v>237</v>
      </c>
      <c r="BA90" t="s">
        <v>237</v>
      </c>
      <c r="BD90" t="s">
        <v>237</v>
      </c>
      <c r="BH90">
        <f>AVERAGE(BH84:BH89)</f>
        <v>0.9209441804008387</v>
      </c>
    </row>
    <row r="91" spans="20:80" x14ac:dyDescent="0.2">
      <c r="AJ91">
        <f>STDEV(AK91:AL91)</f>
        <v>0.69473129154751778</v>
      </c>
      <c r="AK91">
        <f>AH84*4.4/AK84</f>
        <v>8.5614457831325304</v>
      </c>
      <c r="AL91">
        <f>AI84*4.4/AL84</f>
        <v>7.578947368421054</v>
      </c>
      <c r="AM91" t="s">
        <v>429</v>
      </c>
      <c r="AN91">
        <f>AH84*4.4/AO84</f>
        <v>100.22566995768689</v>
      </c>
      <c r="AO91">
        <f>AI84*4.4/AN84</f>
        <v>66.415094339622655</v>
      </c>
      <c r="AP91" t="s">
        <v>435</v>
      </c>
      <c r="AQ91">
        <f>STDEV(AN91:AO91)</f>
        <v>23.907687295353774</v>
      </c>
      <c r="AR91">
        <f>(AQ84+AR84)*100/BF84</f>
        <v>40.208877284595296</v>
      </c>
      <c r="AU91">
        <f>(AT84+AU84)*100/BF85</f>
        <v>56.521739130434796</v>
      </c>
      <c r="AX91">
        <f>(AW84+AX84)*100/BF84</f>
        <v>13.315926892950392</v>
      </c>
      <c r="BA91">
        <v>6.9</v>
      </c>
      <c r="BD91">
        <f>(BC84+BD84)*100/BF84</f>
        <v>2.2454308093994779</v>
      </c>
      <c r="BN91">
        <f>3.134</f>
        <v>3.1339999999999999</v>
      </c>
    </row>
    <row r="92" spans="20:80" x14ac:dyDescent="0.2">
      <c r="AJ92">
        <f t="shared" ref="AJ92:AJ96" si="58">STDEV(AK92:AL92)</f>
        <v>3.4175726962186175E-2</v>
      </c>
      <c r="AK92">
        <f>AH85*4.4/AK85</f>
        <v>7.4233663366336637</v>
      </c>
      <c r="AL92">
        <f>AI85*4.4/AL85</f>
        <v>7.4716981132075473</v>
      </c>
      <c r="AM92" t="s">
        <v>430</v>
      </c>
      <c r="AN92">
        <f>AH85*4.4/AN85</f>
        <v>83.678571428571431</v>
      </c>
      <c r="AO92">
        <f>AI85*4.4/AO85</f>
        <v>113.14285714285715</v>
      </c>
      <c r="AP92" t="s">
        <v>436</v>
      </c>
      <c r="AQ92">
        <f t="shared" ref="AQ92:AQ96" si="59">STDEV(AN92:AO92)</f>
        <v>20.83439623138927</v>
      </c>
      <c r="AR92">
        <f t="shared" ref="AR92:AR96" si="60">(AQ85+AR85)*100/BF85</f>
        <v>45.3913043478261</v>
      </c>
      <c r="AU92">
        <f t="shared" ref="AU92:AU95" si="61">(AT85+AU85)*100/BF86</f>
        <v>34.365325077399376</v>
      </c>
      <c r="AX92">
        <f t="shared" ref="AX92:AX96" si="62">(AW85+AX85)*100/BF85</f>
        <v>9.7391304347826111</v>
      </c>
      <c r="BA92">
        <f t="shared" ref="BA92:BA96" si="63">(AZ85+BA85)*100/BF85</f>
        <v>3.3913043478260878</v>
      </c>
      <c r="BD92">
        <f t="shared" ref="BD92:BD96" si="64">(BC85+BD85)*100/BF85</f>
        <v>2.8695652173913055</v>
      </c>
    </row>
    <row r="93" spans="20:80" x14ac:dyDescent="0.2">
      <c r="AJ93">
        <f t="shared" si="58"/>
        <v>6.4870436476893598E-2</v>
      </c>
      <c r="AK93">
        <f>AH86*4.4/AL86</f>
        <v>7.4949152542372888</v>
      </c>
      <c r="AL93">
        <f>AI86*4.4/AK86</f>
        <v>7.4031746031746035</v>
      </c>
      <c r="AM93" t="s">
        <v>431</v>
      </c>
      <c r="AN93">
        <f>AI86*4.4/AN86</f>
        <v>136.17518248175182</v>
      </c>
      <c r="AO93">
        <f>AH86*4.4/AO86</f>
        <v>146.91029900332228</v>
      </c>
      <c r="AP93" t="s">
        <v>437</v>
      </c>
      <c r="AQ93">
        <f t="shared" si="59"/>
        <v>7.5908736892302153</v>
      </c>
      <c r="AR93">
        <f t="shared" si="60"/>
        <v>45.665634674922607</v>
      </c>
      <c r="AU93">
        <f t="shared" si="61"/>
        <v>39.42075623491553</v>
      </c>
      <c r="AX93">
        <f t="shared" si="62"/>
        <v>12.693498452012383</v>
      </c>
      <c r="BA93">
        <f t="shared" si="63"/>
        <v>2.7089783281733748</v>
      </c>
      <c r="BD93">
        <f t="shared" si="64"/>
        <v>1.0061919504643964</v>
      </c>
    </row>
    <row r="94" spans="20:80" x14ac:dyDescent="0.2">
      <c r="AJ94">
        <f t="shared" si="58"/>
        <v>0.18294428899433821</v>
      </c>
      <c r="AK94">
        <f>AH87*4.4/AK87</f>
        <v>7.5694915254237287</v>
      </c>
      <c r="AL94">
        <f>AI87*4.4/AL87</f>
        <v>7.3107692307692327</v>
      </c>
      <c r="AM94" t="s">
        <v>432</v>
      </c>
      <c r="AN94">
        <f>AH87*4.4/AO87</f>
        <v>137.41538461538462</v>
      </c>
      <c r="AO94">
        <f>AI87*4.4/AO87</f>
        <v>146.21538461538464</v>
      </c>
      <c r="AP94" t="s">
        <v>438</v>
      </c>
      <c r="AQ94">
        <f t="shared" si="59"/>
        <v>6.2225396744416264</v>
      </c>
      <c r="AR94">
        <f t="shared" si="60"/>
        <v>52.775543041029778</v>
      </c>
      <c r="AU94">
        <f t="shared" si="61"/>
        <v>28.976936723832054</v>
      </c>
      <c r="AX94">
        <f t="shared" si="62"/>
        <v>11.504424778761063</v>
      </c>
      <c r="BA94">
        <f t="shared" si="63"/>
        <v>1.5285599356395818</v>
      </c>
      <c r="BD94">
        <f t="shared" si="64"/>
        <v>2.6548672566371687</v>
      </c>
    </row>
    <row r="95" spans="20:80" x14ac:dyDescent="0.2">
      <c r="AJ95">
        <f t="shared" si="58"/>
        <v>0.15640437560082945</v>
      </c>
      <c r="AK95">
        <f>AH88*4.4/AK88</f>
        <v>7.5680000000000005</v>
      </c>
      <c r="AL95">
        <f>AI88*4.4/AL88</f>
        <v>7.7891891891891891</v>
      </c>
      <c r="AM95" t="s">
        <v>433</v>
      </c>
      <c r="AN95">
        <f>AH88*4.4/AN88</f>
        <v>126.80965147453084</v>
      </c>
      <c r="AO95">
        <f>AI88*4.4*AO88</f>
        <v>119.08423999999999</v>
      </c>
      <c r="AP95" t="s">
        <v>439</v>
      </c>
      <c r="AQ95">
        <f t="shared" si="59"/>
        <v>5.4626908410971247</v>
      </c>
      <c r="AR95">
        <f t="shared" si="60"/>
        <v>45.313424009461855</v>
      </c>
      <c r="AU95">
        <f t="shared" si="61"/>
        <v>35.278553579303257</v>
      </c>
      <c r="AX95">
        <f t="shared" si="62"/>
        <v>11.546422235363691</v>
      </c>
      <c r="BA95">
        <f t="shared" si="63"/>
        <v>2.2176227084565348</v>
      </c>
      <c r="BD95">
        <f t="shared" si="64"/>
        <v>5.4405677114133644</v>
      </c>
    </row>
    <row r="96" spans="20:80" x14ac:dyDescent="0.2">
      <c r="AJ96">
        <f t="shared" si="58"/>
        <v>0.28896017572152627</v>
      </c>
      <c r="AK96">
        <f>AH89*4.4/AL89</f>
        <v>8.0666666666666682</v>
      </c>
      <c r="AL96">
        <f>AI89*4.4/AK89</f>
        <v>7.658015267175573</v>
      </c>
      <c r="AM96" t="s">
        <v>434</v>
      </c>
      <c r="AN96">
        <f>AH89*4.4/AO89</f>
        <v>113.83617193836172</v>
      </c>
      <c r="AO96">
        <f>AI89*4.4/AN89</f>
        <v>167.75919732441474</v>
      </c>
      <c r="AP96" t="s">
        <v>440</v>
      </c>
      <c r="AQ96">
        <f t="shared" si="59"/>
        <v>38.129336912572441</v>
      </c>
      <c r="AR96">
        <f t="shared" si="60"/>
        <v>55.710715860649721</v>
      </c>
      <c r="AU96">
        <f>(AT89+AU89)*100/BF89</f>
        <v>30.501249448772604</v>
      </c>
      <c r="AX96">
        <f t="shared" si="62"/>
        <v>10.436572100543879</v>
      </c>
      <c r="BA96">
        <f t="shared" si="63"/>
        <v>2.0579156254593562</v>
      </c>
      <c r="BD96">
        <f t="shared" si="64"/>
        <v>1.2935469645744526</v>
      </c>
    </row>
    <row r="97" spans="1:52" x14ac:dyDescent="0.2">
      <c r="X97" t="s">
        <v>109</v>
      </c>
      <c r="AE97">
        <v>1997</v>
      </c>
      <c r="AF97" t="s">
        <v>119</v>
      </c>
      <c r="AG97" t="s">
        <v>291</v>
      </c>
      <c r="AH97" t="s">
        <v>292</v>
      </c>
      <c r="AJ97" t="s">
        <v>291</v>
      </c>
      <c r="AK97" t="s">
        <v>52</v>
      </c>
      <c r="AM97" t="s">
        <v>291</v>
      </c>
      <c r="AN97" t="s">
        <v>50</v>
      </c>
      <c r="AP97" t="s">
        <v>291</v>
      </c>
      <c r="AQ97" t="s">
        <v>293</v>
      </c>
      <c r="AS97">
        <v>1997</v>
      </c>
      <c r="AZ97" t="s">
        <v>441</v>
      </c>
    </row>
    <row r="98" spans="1:52" x14ac:dyDescent="0.2">
      <c r="W98">
        <f>AVERAGE(X98:Z98)</f>
        <v>12.060224089635856</v>
      </c>
      <c r="X98">
        <f>AK98/AN98</f>
        <v>12.215686274509805</v>
      </c>
      <c r="Z98">
        <f>AM98/AP98</f>
        <v>11.904761904761905</v>
      </c>
      <c r="AA98">
        <f>STDEV(X98:Z98)</f>
        <v>0.21985673028489339</v>
      </c>
      <c r="AC98" t="s">
        <v>95</v>
      </c>
      <c r="AE98">
        <v>3.4</v>
      </c>
      <c r="AF98">
        <v>4.3</v>
      </c>
      <c r="AG98">
        <v>2.8</v>
      </c>
      <c r="AH98">
        <v>48</v>
      </c>
      <c r="AI98">
        <v>42</v>
      </c>
      <c r="AJ98">
        <v>45</v>
      </c>
      <c r="AK98">
        <v>24.92</v>
      </c>
      <c r="AL98">
        <v>24.68</v>
      </c>
      <c r="AM98">
        <v>25</v>
      </c>
      <c r="AN98">
        <v>2.04</v>
      </c>
      <c r="AO98">
        <v>0.91</v>
      </c>
      <c r="AP98">
        <v>2.1</v>
      </c>
      <c r="AQ98">
        <f>11*AE98*AN98</f>
        <v>76.295999999999992</v>
      </c>
      <c r="AR98">
        <f t="shared" ref="AR98:AS98" si="65">11*AF98*AO98</f>
        <v>43.042999999999999</v>
      </c>
      <c r="AS98">
        <f t="shared" si="65"/>
        <v>64.679999999999993</v>
      </c>
      <c r="AU98">
        <f>AH98*0.42/AK98</f>
        <v>0.8089887640449438</v>
      </c>
      <c r="AV98">
        <f>AI98*0.42/AL98</f>
        <v>0.71474878444084278</v>
      </c>
      <c r="AW98">
        <f>AJ98*0.42/AM98</f>
        <v>0.75599999999999989</v>
      </c>
      <c r="AX98">
        <f>AVERAGE(AU98:AW98)</f>
        <v>0.75991251616192879</v>
      </c>
      <c r="AY98">
        <f>STDEV(AU98:AX98)</f>
        <v>3.857265245380774E-2</v>
      </c>
      <c r="AZ98" t="s">
        <v>442</v>
      </c>
    </row>
    <row r="99" spans="1:52" x14ac:dyDescent="0.2">
      <c r="W99">
        <f t="shared" ref="W99:W103" si="66">AVERAGE(X99:Z99)</f>
        <v>12.339225068017639</v>
      </c>
      <c r="X99">
        <f t="shared" ref="X99:X103" si="67">AK99/AN99</f>
        <v>13.231578947368423</v>
      </c>
      <c r="Y99">
        <f t="shared" ref="Y99:Y103" si="68">AL99/AO99</f>
        <v>12.058823529411764</v>
      </c>
      <c r="Z99">
        <f t="shared" ref="Z99:Z103" si="69">AM99/AP99</f>
        <v>11.727272727272727</v>
      </c>
      <c r="AA99">
        <f t="shared" ref="AA99:AA103" si="70">STDEV(X99:Z99)</f>
        <v>0.79038159650516659</v>
      </c>
      <c r="AC99" t="s">
        <v>172</v>
      </c>
      <c r="AE99">
        <v>5.2</v>
      </c>
      <c r="AF99">
        <v>3.9</v>
      </c>
      <c r="AG99">
        <v>3.7</v>
      </c>
      <c r="AH99">
        <v>42</v>
      </c>
      <c r="AI99">
        <v>38</v>
      </c>
      <c r="AJ99">
        <v>44</v>
      </c>
      <c r="AK99">
        <v>25.14</v>
      </c>
      <c r="AL99">
        <v>20.5</v>
      </c>
      <c r="AM99">
        <v>25.8</v>
      </c>
      <c r="AN99">
        <v>1.9</v>
      </c>
      <c r="AO99">
        <v>1.7</v>
      </c>
      <c r="AP99">
        <v>2.2000000000000002</v>
      </c>
      <c r="AQ99">
        <f t="shared" ref="AQ99:AQ103" si="71">11*AE99*AN99</f>
        <v>108.68</v>
      </c>
      <c r="AR99">
        <f t="shared" ref="AR99:AR103" si="72">11*AF99*AO99</f>
        <v>72.929999999999993</v>
      </c>
      <c r="AS99">
        <f t="shared" ref="AS99:AS103" si="73">11*AG99*AP99</f>
        <v>89.54000000000002</v>
      </c>
      <c r="AU99">
        <f t="shared" ref="AU99:AU103" si="74">AH99*0.42/AK99</f>
        <v>0.70167064439140814</v>
      </c>
      <c r="AV99">
        <f t="shared" ref="AV99:AV103" si="75">AI99*0.42/AL99</f>
        <v>0.77853658536585357</v>
      </c>
      <c r="AW99">
        <f t="shared" ref="AW99:AW103" si="76">AJ99*0.42/AM99</f>
        <v>0.71627906976744182</v>
      </c>
      <c r="AX99">
        <f t="shared" ref="AX99:AX103" si="77">AVERAGE(AU99:AW99)</f>
        <v>0.73216209984156777</v>
      </c>
      <c r="AY99">
        <f t="shared" ref="AY99:AY103" si="78">STDEV(AU99:AX99)</f>
        <v>3.3329628498013859E-2</v>
      </c>
      <c r="AZ99" t="s">
        <v>443</v>
      </c>
    </row>
    <row r="100" spans="1:52" x14ac:dyDescent="0.2">
      <c r="W100">
        <f t="shared" si="66"/>
        <v>12.887369534572592</v>
      </c>
      <c r="X100">
        <f t="shared" si="67"/>
        <v>11.151898734177216</v>
      </c>
      <c r="Y100">
        <f t="shared" si="68"/>
        <v>12.790697674418606</v>
      </c>
      <c r="Z100">
        <f t="shared" si="69"/>
        <v>14.719512195121952</v>
      </c>
      <c r="AA100">
        <f t="shared" si="70"/>
        <v>1.7857702926434025</v>
      </c>
      <c r="AC100" t="s">
        <v>173</v>
      </c>
      <c r="AE100">
        <v>6.1</v>
      </c>
      <c r="AF100">
        <v>6.6</v>
      </c>
      <c r="AG100">
        <v>4.8</v>
      </c>
      <c r="AH100">
        <v>46</v>
      </c>
      <c r="AI100">
        <v>35</v>
      </c>
      <c r="AJ100">
        <v>31</v>
      </c>
      <c r="AK100">
        <v>17.62</v>
      </c>
      <c r="AL100">
        <v>27.5</v>
      </c>
      <c r="AM100">
        <v>24.14</v>
      </c>
      <c r="AN100">
        <v>1.58</v>
      </c>
      <c r="AO100">
        <v>2.15</v>
      </c>
      <c r="AP100">
        <v>1.64</v>
      </c>
      <c r="AQ100">
        <f t="shared" si="71"/>
        <v>106.018</v>
      </c>
      <c r="AR100">
        <f t="shared" si="72"/>
        <v>156.08999999999997</v>
      </c>
      <c r="AS100">
        <f t="shared" si="73"/>
        <v>86.591999999999985</v>
      </c>
      <c r="AU100">
        <f t="shared" si="74"/>
        <v>1.0964812712826333</v>
      </c>
      <c r="AV100">
        <f t="shared" si="75"/>
        <v>0.53454545454545455</v>
      </c>
      <c r="AW100">
        <f t="shared" si="76"/>
        <v>0.53935376967688475</v>
      </c>
      <c r="AX100">
        <f t="shared" si="77"/>
        <v>0.72346016516832412</v>
      </c>
      <c r="AY100">
        <f t="shared" si="78"/>
        <v>0.26377305798565798</v>
      </c>
      <c r="AZ100" t="s">
        <v>444</v>
      </c>
    </row>
    <row r="101" spans="1:52" x14ac:dyDescent="0.2">
      <c r="W101">
        <f t="shared" si="66"/>
        <v>11.258618233618234</v>
      </c>
      <c r="X101">
        <f t="shared" si="67"/>
        <v>10.575000000000001</v>
      </c>
      <c r="Y101">
        <f t="shared" si="68"/>
        <v>11.111111111111111</v>
      </c>
      <c r="Z101">
        <f t="shared" si="69"/>
        <v>12.089743589743589</v>
      </c>
      <c r="AA101">
        <f t="shared" si="70"/>
        <v>0.7680695274908852</v>
      </c>
      <c r="AC101" s="8" t="s">
        <v>285</v>
      </c>
      <c r="AE101">
        <v>12</v>
      </c>
      <c r="AF101">
        <v>7.6</v>
      </c>
      <c r="AG101">
        <v>6.3</v>
      </c>
      <c r="AH101">
        <v>32</v>
      </c>
      <c r="AI101">
        <v>36</v>
      </c>
      <c r="AJ101">
        <v>34</v>
      </c>
      <c r="AK101">
        <v>16.920000000000002</v>
      </c>
      <c r="AL101">
        <v>20</v>
      </c>
      <c r="AM101">
        <v>18.86</v>
      </c>
      <c r="AN101">
        <v>1.6</v>
      </c>
      <c r="AO101">
        <v>1.8</v>
      </c>
      <c r="AP101">
        <v>1.56</v>
      </c>
      <c r="AQ101">
        <f t="shared" si="71"/>
        <v>211.20000000000002</v>
      </c>
      <c r="AR101">
        <f t="shared" si="72"/>
        <v>150.47999999999999</v>
      </c>
      <c r="AS101">
        <f t="shared" si="73"/>
        <v>108.108</v>
      </c>
      <c r="AU101">
        <f t="shared" si="74"/>
        <v>0.7943262411347517</v>
      </c>
      <c r="AV101">
        <f t="shared" si="75"/>
        <v>0.75600000000000001</v>
      </c>
      <c r="AW101">
        <f t="shared" si="76"/>
        <v>0.75715800636267228</v>
      </c>
      <c r="AX101">
        <f t="shared" si="77"/>
        <v>0.76916141583247466</v>
      </c>
      <c r="AY101">
        <f t="shared" si="78"/>
        <v>1.7800497540885186E-2</v>
      </c>
      <c r="AZ101" t="s">
        <v>433</v>
      </c>
    </row>
    <row r="102" spans="1:52" x14ac:dyDescent="0.2">
      <c r="W102">
        <f t="shared" si="66"/>
        <v>11.439251882534974</v>
      </c>
      <c r="X102">
        <f t="shared" si="67"/>
        <v>10.295081967213115</v>
      </c>
      <c r="Y102">
        <f t="shared" si="68"/>
        <v>11.644295302013424</v>
      </c>
      <c r="Z102">
        <f t="shared" si="69"/>
        <v>12.378378378378377</v>
      </c>
      <c r="AA102">
        <f t="shared" si="70"/>
        <v>1.0566754880743083</v>
      </c>
      <c r="AC102" t="s">
        <v>277</v>
      </c>
      <c r="AE102">
        <v>9.5</v>
      </c>
      <c r="AF102">
        <v>9</v>
      </c>
      <c r="AG102">
        <v>10</v>
      </c>
      <c r="AH102">
        <v>25</v>
      </c>
      <c r="AI102">
        <v>29</v>
      </c>
      <c r="AJ102">
        <v>21</v>
      </c>
      <c r="AK102">
        <v>18.84</v>
      </c>
      <c r="AL102">
        <v>17.350000000000001</v>
      </c>
      <c r="AM102">
        <v>13.74</v>
      </c>
      <c r="AN102">
        <v>1.83</v>
      </c>
      <c r="AO102">
        <v>1.49</v>
      </c>
      <c r="AP102">
        <v>1.1100000000000001</v>
      </c>
      <c r="AQ102">
        <f t="shared" si="71"/>
        <v>191.23500000000001</v>
      </c>
      <c r="AR102">
        <f t="shared" si="72"/>
        <v>147.51</v>
      </c>
      <c r="AS102">
        <f t="shared" si="73"/>
        <v>122.10000000000001</v>
      </c>
      <c r="AU102">
        <f t="shared" si="74"/>
        <v>0.5573248407643312</v>
      </c>
      <c r="AV102">
        <f t="shared" si="75"/>
        <v>0.7020172910662823</v>
      </c>
      <c r="AW102">
        <f t="shared" si="76"/>
        <v>0.64192139737991272</v>
      </c>
      <c r="AX102">
        <f t="shared" si="77"/>
        <v>0.63375450973684211</v>
      </c>
      <c r="AY102">
        <f t="shared" si="78"/>
        <v>5.9352056038110723E-2</v>
      </c>
      <c r="AZ102" t="s">
        <v>445</v>
      </c>
    </row>
    <row r="103" spans="1:52" x14ac:dyDescent="0.2">
      <c r="W103">
        <f t="shared" si="66"/>
        <v>13.147736866030263</v>
      </c>
      <c r="X103">
        <f t="shared" si="67"/>
        <v>9</v>
      </c>
      <c r="Y103">
        <f t="shared" si="68"/>
        <v>14.816091954022989</v>
      </c>
      <c r="Z103">
        <f t="shared" si="69"/>
        <v>15.627118644067799</v>
      </c>
      <c r="AA103">
        <f t="shared" si="70"/>
        <v>3.6148626399022703</v>
      </c>
      <c r="AC103" t="s">
        <v>290</v>
      </c>
      <c r="AE103">
        <v>12</v>
      </c>
      <c r="AF103">
        <v>13</v>
      </c>
      <c r="AG103">
        <v>15</v>
      </c>
      <c r="AH103">
        <v>24</v>
      </c>
      <c r="AI103">
        <v>18</v>
      </c>
      <c r="AJ103">
        <v>17</v>
      </c>
      <c r="AK103">
        <v>9.6300000000000008</v>
      </c>
      <c r="AL103">
        <v>12.89</v>
      </c>
      <c r="AM103">
        <v>9.2200000000000006</v>
      </c>
      <c r="AN103">
        <v>1.07</v>
      </c>
      <c r="AO103">
        <v>0.87</v>
      </c>
      <c r="AP103">
        <v>0.59</v>
      </c>
      <c r="AQ103">
        <f t="shared" si="71"/>
        <v>141.24</v>
      </c>
      <c r="AR103">
        <f t="shared" si="72"/>
        <v>124.41</v>
      </c>
      <c r="AS103">
        <f t="shared" si="73"/>
        <v>97.35</v>
      </c>
      <c r="AU103">
        <f t="shared" si="74"/>
        <v>1.0467289719626167</v>
      </c>
      <c r="AV103">
        <f t="shared" si="75"/>
        <v>0.58650116369278504</v>
      </c>
      <c r="AW103">
        <f t="shared" si="76"/>
        <v>0.77440347071583504</v>
      </c>
      <c r="AX103">
        <f t="shared" si="77"/>
        <v>0.80254453545707893</v>
      </c>
      <c r="AY103">
        <f t="shared" si="78"/>
        <v>0.18893799427288585</v>
      </c>
      <c r="AZ103" t="s">
        <v>446</v>
      </c>
    </row>
    <row r="105" spans="1:52" x14ac:dyDescent="0.2">
      <c r="A105">
        <v>1993</v>
      </c>
      <c r="B105" t="s">
        <v>191</v>
      </c>
      <c r="C105" t="s">
        <v>119</v>
      </c>
      <c r="E105" t="s">
        <v>347</v>
      </c>
      <c r="F105" t="s">
        <v>102</v>
      </c>
      <c r="AC105" s="2"/>
      <c r="AD105" s="2">
        <v>1988</v>
      </c>
      <c r="AE105" s="2"/>
      <c r="AF105" s="2"/>
      <c r="AG105" s="2">
        <v>1997</v>
      </c>
      <c r="AH105" s="2"/>
      <c r="AI105" s="2"/>
      <c r="AJ105">
        <v>2018</v>
      </c>
      <c r="AN105" t="s">
        <v>110</v>
      </c>
    </row>
    <row r="106" spans="1:52" x14ac:dyDescent="0.2">
      <c r="B106">
        <v>0.94750000000000001</v>
      </c>
      <c r="C106">
        <v>5.01</v>
      </c>
      <c r="D106">
        <v>19.8</v>
      </c>
      <c r="E106">
        <f>AVERAGE(C106:D106)</f>
        <v>12.405000000000001</v>
      </c>
      <c r="F106">
        <f>1.1*E106/100*B106</f>
        <v>0.12929111250000003</v>
      </c>
      <c r="G106">
        <f>F106*10*31.6</f>
        <v>40.855991550000013</v>
      </c>
      <c r="H106">
        <f>G106/E106*C106</f>
        <v>16.500485100000002</v>
      </c>
      <c r="I106" t="s">
        <v>193</v>
      </c>
      <c r="J106">
        <f>H106*2</f>
        <v>33.000970200000005</v>
      </c>
      <c r="K106">
        <v>33</v>
      </c>
      <c r="AC106" s="2"/>
      <c r="AD106" s="2" t="s">
        <v>108</v>
      </c>
      <c r="AE106" s="2" t="s">
        <v>109</v>
      </c>
      <c r="AF106" s="2" t="s">
        <v>110</v>
      </c>
      <c r="AG106" s="2" t="s">
        <v>108</v>
      </c>
      <c r="AH106" s="2" t="s">
        <v>109</v>
      </c>
      <c r="AI106" s="2" t="s">
        <v>110</v>
      </c>
      <c r="AJ106" s="2" t="s">
        <v>110</v>
      </c>
    </row>
    <row r="107" spans="1:52" x14ac:dyDescent="0.2">
      <c r="B107">
        <v>0.57399999999999995</v>
      </c>
      <c r="C107">
        <v>10.9</v>
      </c>
      <c r="D107">
        <v>23.1</v>
      </c>
      <c r="E107">
        <f t="shared" ref="E107:E111" si="79">AVERAGE(C107:D107)</f>
        <v>17</v>
      </c>
      <c r="F107">
        <f t="shared" ref="F107:F111" si="80">1.1*E107/100*B107</f>
        <v>0.107338</v>
      </c>
      <c r="G107">
        <f t="shared" ref="G107:G111" si="81">F107*10*31.6</f>
        <v>33.918807999999999</v>
      </c>
      <c r="I107" s="1" t="s">
        <v>306</v>
      </c>
      <c r="J107">
        <f>G107*3</f>
        <v>101.756424</v>
      </c>
      <c r="K107">
        <f>J106+J107</f>
        <v>134.75739419999999</v>
      </c>
      <c r="AC107" s="2" t="s">
        <v>95</v>
      </c>
      <c r="AD107" s="2" t="s">
        <v>390</v>
      </c>
      <c r="AE107" s="2" t="s">
        <v>393</v>
      </c>
      <c r="AF107" s="2" t="s">
        <v>396</v>
      </c>
      <c r="AG107" s="2" t="s">
        <v>372</v>
      </c>
      <c r="AH107" s="2" t="s">
        <v>384</v>
      </c>
      <c r="AI107" s="2" t="s">
        <v>378</v>
      </c>
      <c r="AJ107" s="2" t="s">
        <v>415</v>
      </c>
    </row>
    <row r="108" spans="1:52" x14ac:dyDescent="0.2">
      <c r="B108">
        <v>0.64349999999999996</v>
      </c>
      <c r="C108">
        <v>13.6</v>
      </c>
      <c r="D108">
        <v>12.3</v>
      </c>
      <c r="E108">
        <f t="shared" si="79"/>
        <v>12.95</v>
      </c>
      <c r="F108">
        <f t="shared" si="80"/>
        <v>9.1666575000000014E-2</v>
      </c>
      <c r="G108">
        <f t="shared" si="81"/>
        <v>28.966637700000007</v>
      </c>
      <c r="I108" t="s">
        <v>307</v>
      </c>
      <c r="J108">
        <f>G108*5</f>
        <v>144.83318850000003</v>
      </c>
      <c r="K108">
        <f>K107+J108</f>
        <v>279.59058270000003</v>
      </c>
      <c r="AC108" s="2" t="s">
        <v>172</v>
      </c>
      <c r="AD108" s="2" t="s">
        <v>391</v>
      </c>
      <c r="AE108" s="2" t="s">
        <v>394</v>
      </c>
      <c r="AF108" s="2" t="s">
        <v>398</v>
      </c>
      <c r="AG108" s="2" t="s">
        <v>373</v>
      </c>
      <c r="AH108" s="2" t="s">
        <v>385</v>
      </c>
      <c r="AI108" s="2" t="s">
        <v>379</v>
      </c>
      <c r="AJ108" s="2" t="s">
        <v>416</v>
      </c>
    </row>
    <row r="109" spans="1:52" x14ac:dyDescent="0.2">
      <c r="B109">
        <v>0.71350000000000002</v>
      </c>
      <c r="C109">
        <v>14.3</v>
      </c>
      <c r="D109">
        <v>15.7</v>
      </c>
      <c r="E109">
        <f t="shared" si="79"/>
        <v>15</v>
      </c>
      <c r="F109">
        <f t="shared" si="80"/>
        <v>0.11772750000000001</v>
      </c>
      <c r="G109">
        <f t="shared" si="81"/>
        <v>37.201890000000006</v>
      </c>
      <c r="I109" s="8" t="s">
        <v>285</v>
      </c>
      <c r="J109">
        <f>G109*10</f>
        <v>372.01890000000003</v>
      </c>
      <c r="K109">
        <f>K108+J109</f>
        <v>651.60948270000006</v>
      </c>
      <c r="AC109" s="2" t="s">
        <v>173</v>
      </c>
      <c r="AD109" s="2" t="s">
        <v>392</v>
      </c>
      <c r="AE109" s="2" t="s">
        <v>395</v>
      </c>
      <c r="AF109" s="2" t="s">
        <v>397</v>
      </c>
      <c r="AG109" s="2" t="s">
        <v>374</v>
      </c>
      <c r="AH109" s="2" t="s">
        <v>386</v>
      </c>
      <c r="AI109" s="2" t="s">
        <v>380</v>
      </c>
      <c r="AJ109" s="2" t="s">
        <v>417</v>
      </c>
    </row>
    <row r="110" spans="1:52" x14ac:dyDescent="0.2">
      <c r="B110">
        <v>0.88949999999999996</v>
      </c>
      <c r="C110">
        <v>14.5</v>
      </c>
      <c r="D110">
        <v>16.3</v>
      </c>
      <c r="E110">
        <f t="shared" si="79"/>
        <v>15.4</v>
      </c>
      <c r="F110">
        <f t="shared" si="80"/>
        <v>0.15068130000000002</v>
      </c>
      <c r="G110">
        <f t="shared" si="81"/>
        <v>47.615290800000011</v>
      </c>
      <c r="I110" t="s">
        <v>277</v>
      </c>
      <c r="J110">
        <f>G110*10</f>
        <v>476.15290800000014</v>
      </c>
      <c r="K110">
        <f>J110+J111+K109</f>
        <v>1608.2863687000004</v>
      </c>
      <c r="AC110" s="10" t="s">
        <v>285</v>
      </c>
      <c r="AD110" s="2" t="s">
        <v>375</v>
      </c>
      <c r="AE110" s="2" t="s">
        <v>399</v>
      </c>
      <c r="AF110" s="2" t="s">
        <v>402</v>
      </c>
      <c r="AG110" s="2" t="s">
        <v>375</v>
      </c>
      <c r="AH110" s="2" t="s">
        <v>387</v>
      </c>
      <c r="AI110" s="2" t="s">
        <v>381</v>
      </c>
      <c r="AJ110" s="2" t="s">
        <v>418</v>
      </c>
    </row>
    <row r="111" spans="1:52" x14ac:dyDescent="0.2">
      <c r="B111">
        <v>0.91549999999999998</v>
      </c>
      <c r="C111">
        <v>13.5</v>
      </c>
      <c r="D111">
        <v>16.7</v>
      </c>
      <c r="E111">
        <f t="shared" si="79"/>
        <v>15.1</v>
      </c>
      <c r="F111">
        <f t="shared" si="80"/>
        <v>0.15206454999999999</v>
      </c>
      <c r="G111">
        <f t="shared" si="81"/>
        <v>48.052397800000001</v>
      </c>
      <c r="I111" t="s">
        <v>290</v>
      </c>
      <c r="J111">
        <f>G111*10</f>
        <v>480.523978</v>
      </c>
      <c r="AC111" s="2" t="s">
        <v>277</v>
      </c>
      <c r="AD111" s="2" t="s">
        <v>376</v>
      </c>
      <c r="AE111" s="2" t="s">
        <v>400</v>
      </c>
      <c r="AF111" s="2" t="s">
        <v>403</v>
      </c>
      <c r="AG111" s="2" t="s">
        <v>376</v>
      </c>
      <c r="AH111" s="2" t="s">
        <v>388</v>
      </c>
      <c r="AI111" s="2" t="s">
        <v>382</v>
      </c>
      <c r="AJ111" s="2" t="s">
        <v>419</v>
      </c>
    </row>
    <row r="112" spans="1:52" x14ac:dyDescent="0.2">
      <c r="AC112" s="2" t="s">
        <v>290</v>
      </c>
      <c r="AD112" s="2" t="s">
        <v>377</v>
      </c>
      <c r="AE112" s="2" t="s">
        <v>401</v>
      </c>
      <c r="AF112" s="2" t="s">
        <v>404</v>
      </c>
      <c r="AG112" s="2" t="s">
        <v>377</v>
      </c>
      <c r="AH112" s="2" t="s">
        <v>389</v>
      </c>
      <c r="AI112" s="2" t="s">
        <v>383</v>
      </c>
      <c r="AJ112" s="2" t="s">
        <v>420</v>
      </c>
    </row>
    <row r="113" spans="1:36" x14ac:dyDescent="0.2">
      <c r="AC113" s="2" t="s">
        <v>3</v>
      </c>
      <c r="AD113" s="2" t="s">
        <v>421</v>
      </c>
      <c r="AE113" s="2" t="s">
        <v>422</v>
      </c>
      <c r="AF113" s="2" t="s">
        <v>423</v>
      </c>
      <c r="AG113" s="2" t="s">
        <v>424</v>
      </c>
      <c r="AH113" s="2" t="s">
        <v>425</v>
      </c>
      <c r="AI113" s="2" t="s">
        <v>426</v>
      </c>
      <c r="AJ113" s="2" t="s">
        <v>427</v>
      </c>
    </row>
    <row r="115" spans="1:36" x14ac:dyDescent="0.2">
      <c r="AD115" t="s">
        <v>108</v>
      </c>
      <c r="AF115" t="s">
        <v>109</v>
      </c>
      <c r="AH115" t="s">
        <v>110</v>
      </c>
    </row>
    <row r="116" spans="1:36" x14ac:dyDescent="0.2">
      <c r="A116" t="s">
        <v>304</v>
      </c>
      <c r="AD116" t="s">
        <v>135</v>
      </c>
      <c r="AE116" t="s">
        <v>86</v>
      </c>
      <c r="AF116" t="s">
        <v>135</v>
      </c>
      <c r="AG116" t="s">
        <v>86</v>
      </c>
      <c r="AH116" t="s">
        <v>135</v>
      </c>
      <c r="AI116" t="s">
        <v>86</v>
      </c>
    </row>
    <row r="117" spans="1:36" x14ac:dyDescent="0.2">
      <c r="A117">
        <v>1993</v>
      </c>
      <c r="F117" t="s">
        <v>312</v>
      </c>
      <c r="I117">
        <v>1993</v>
      </c>
      <c r="K117">
        <v>1997</v>
      </c>
      <c r="O117" t="s">
        <v>3</v>
      </c>
      <c r="U117">
        <v>1997</v>
      </c>
      <c r="AD117">
        <v>10.037734419942034</v>
      </c>
      <c r="AE117">
        <v>0.65</v>
      </c>
      <c r="AF117">
        <v>7.826614285914232</v>
      </c>
      <c r="AG117">
        <v>0.61799999999999999</v>
      </c>
      <c r="AH117">
        <v>78.295096958627255</v>
      </c>
      <c r="AI117">
        <v>1.59</v>
      </c>
    </row>
    <row r="118" spans="1:36" x14ac:dyDescent="0.2">
      <c r="A118">
        <v>1993</v>
      </c>
      <c r="B118" t="s">
        <v>308</v>
      </c>
      <c r="D118" t="s">
        <v>309</v>
      </c>
      <c r="F118" t="s">
        <v>311</v>
      </c>
      <c r="G118" t="s">
        <v>310</v>
      </c>
      <c r="H118" t="s">
        <v>191</v>
      </c>
      <c r="I118" t="s">
        <v>313</v>
      </c>
      <c r="K118" t="s">
        <v>311</v>
      </c>
      <c r="L118" t="s">
        <v>311</v>
      </c>
      <c r="M118" t="s">
        <v>310</v>
      </c>
      <c r="N118" t="s">
        <v>310</v>
      </c>
      <c r="O118" t="s">
        <v>311</v>
      </c>
      <c r="P118" t="s">
        <v>310</v>
      </c>
      <c r="Q118" t="s">
        <v>50</v>
      </c>
      <c r="S118" t="s">
        <v>291</v>
      </c>
      <c r="T118" t="s">
        <v>314</v>
      </c>
      <c r="U118" t="s">
        <v>313</v>
      </c>
      <c r="V118" t="s">
        <v>119</v>
      </c>
      <c r="Y118" t="s">
        <v>3</v>
      </c>
      <c r="Z118" t="s">
        <v>340</v>
      </c>
      <c r="AB118" t="s">
        <v>348</v>
      </c>
      <c r="AD118">
        <v>9.6429763915474975</v>
      </c>
      <c r="AE118">
        <v>0.41</v>
      </c>
      <c r="AF118">
        <v>8.1445906782590196</v>
      </c>
      <c r="AG118">
        <v>0.47699999999999998</v>
      </c>
      <c r="AH118">
        <v>78.408729999202365</v>
      </c>
      <c r="AI118">
        <v>1.52</v>
      </c>
    </row>
    <row r="119" spans="1:36" x14ac:dyDescent="0.2">
      <c r="A119" t="s">
        <v>305</v>
      </c>
      <c r="B119">
        <v>11</v>
      </c>
      <c r="C119">
        <v>9.6</v>
      </c>
      <c r="D119">
        <v>28</v>
      </c>
      <c r="E119">
        <v>20</v>
      </c>
      <c r="F119">
        <f>AVERAGE(B119:C119)</f>
        <v>10.3</v>
      </c>
      <c r="G119">
        <f>AVERAGE(D119:E119)</f>
        <v>24</v>
      </c>
      <c r="H119">
        <v>0.94750000000000001</v>
      </c>
      <c r="I119">
        <f>F119/H119</f>
        <v>10.87071240105541</v>
      </c>
      <c r="K119">
        <v>7.3</v>
      </c>
      <c r="L119">
        <v>6.3</v>
      </c>
      <c r="M119">
        <v>140</v>
      </c>
      <c r="N119">
        <v>155</v>
      </c>
      <c r="O119">
        <f>AVERAGE(K119:L119)</f>
        <v>6.8</v>
      </c>
      <c r="P119">
        <f>AVERAGE(M119:N119)</f>
        <v>147.5</v>
      </c>
      <c r="Q119">
        <v>2.04</v>
      </c>
      <c r="R119">
        <v>0.91</v>
      </c>
      <c r="S119">
        <v>2.1</v>
      </c>
      <c r="T119">
        <f>AVERAGE(Q119:S119)</f>
        <v>1.6833333333333336</v>
      </c>
      <c r="U119">
        <f>O119/T119</f>
        <v>4.0396039603960388</v>
      </c>
      <c r="V119">
        <v>3.4</v>
      </c>
      <c r="W119">
        <v>3.3</v>
      </c>
      <c r="X119">
        <v>2.8</v>
      </c>
      <c r="Y119">
        <f>AVERAGE(V119:X119)</f>
        <v>3.1666666666666665</v>
      </c>
      <c r="Z119">
        <f>1.1*Q119*Y119/100</f>
        <v>7.1060000000000012E-2</v>
      </c>
      <c r="AA119" t="s">
        <v>193</v>
      </c>
      <c r="AB119">
        <f>Z119*2*316</f>
        <v>44.909920000000007</v>
      </c>
      <c r="AC119">
        <v>44.908999999999999</v>
      </c>
      <c r="AD119">
        <v>9.4358758228073309</v>
      </c>
      <c r="AE119">
        <v>1.05</v>
      </c>
      <c r="AF119">
        <v>9.1795588382074058</v>
      </c>
      <c r="AG119">
        <v>0.94899999999999995</v>
      </c>
      <c r="AH119">
        <v>86.211761390731354</v>
      </c>
      <c r="AI119">
        <v>4.8</v>
      </c>
    </row>
    <row r="120" spans="1:36" x14ac:dyDescent="0.2">
      <c r="A120" s="1" t="s">
        <v>306</v>
      </c>
      <c r="B120">
        <v>9.6999999999999993</v>
      </c>
      <c r="C120">
        <v>9.9</v>
      </c>
      <c r="D120">
        <v>33</v>
      </c>
      <c r="E120">
        <v>33</v>
      </c>
      <c r="F120">
        <f t="shared" ref="F120:F124" si="82">AVERAGE(B120:C120)</f>
        <v>9.8000000000000007</v>
      </c>
      <c r="G120">
        <f t="shared" ref="G120:G124" si="83">AVERAGE(D120:E120)</f>
        <v>33</v>
      </c>
      <c r="H120">
        <v>0.57399999999999995</v>
      </c>
      <c r="I120">
        <f t="shared" ref="I120:I124" si="84">F120/H120</f>
        <v>17.073170731707318</v>
      </c>
      <c r="K120">
        <v>6.5</v>
      </c>
      <c r="L120">
        <v>7.64</v>
      </c>
      <c r="M120">
        <v>140</v>
      </c>
      <c r="N120">
        <v>165</v>
      </c>
      <c r="O120">
        <f t="shared" ref="O120:O124" si="85">AVERAGE(K120:L120)</f>
        <v>7.07</v>
      </c>
      <c r="P120">
        <f t="shared" ref="P120:P124" si="86">AVERAGE(M120:N120)</f>
        <v>152.5</v>
      </c>
      <c r="Q120">
        <v>1.9</v>
      </c>
      <c r="R120">
        <v>1.7</v>
      </c>
      <c r="S120">
        <v>2.2000000000000002</v>
      </c>
      <c r="T120">
        <f t="shared" ref="T120:T124" si="87">AVERAGE(Q120:S120)</f>
        <v>1.9333333333333333</v>
      </c>
      <c r="U120">
        <f t="shared" ref="U120:U124" si="88">O120/T120</f>
        <v>3.6568965517241381</v>
      </c>
      <c r="V120">
        <v>5.2</v>
      </c>
      <c r="W120">
        <v>3.9</v>
      </c>
      <c r="X120">
        <v>3.7</v>
      </c>
      <c r="Y120">
        <f t="shared" ref="Y120:Y124" si="89">AVERAGE(V120:X120)</f>
        <v>4.2666666666666666</v>
      </c>
      <c r="Z120">
        <f t="shared" ref="Z120:Z124" si="90">1.1*Q120*Y120/100</f>
        <v>8.9173333333333313E-2</v>
      </c>
      <c r="AA120" s="1" t="s">
        <v>306</v>
      </c>
      <c r="AB120">
        <f>Z120*3*316</f>
        <v>84.536319999999975</v>
      </c>
      <c r="AC120">
        <f>AC119+AB120</f>
        <v>129.44531999999998</v>
      </c>
    </row>
    <row r="121" spans="1:36" x14ac:dyDescent="0.2">
      <c r="A121" t="s">
        <v>307</v>
      </c>
      <c r="B121">
        <v>14</v>
      </c>
      <c r="D121">
        <v>65</v>
      </c>
      <c r="E121">
        <v>75</v>
      </c>
      <c r="F121">
        <f t="shared" si="82"/>
        <v>14</v>
      </c>
      <c r="G121">
        <f t="shared" si="83"/>
        <v>70</v>
      </c>
      <c r="H121">
        <v>0.64349999999999996</v>
      </c>
      <c r="I121">
        <f t="shared" si="84"/>
        <v>21.756021756021756</v>
      </c>
      <c r="K121">
        <v>6.7</v>
      </c>
      <c r="L121">
        <v>7.15</v>
      </c>
      <c r="M121">
        <v>150</v>
      </c>
      <c r="N121">
        <v>165</v>
      </c>
      <c r="O121">
        <f t="shared" si="85"/>
        <v>6.9250000000000007</v>
      </c>
      <c r="P121">
        <f t="shared" si="86"/>
        <v>157.5</v>
      </c>
      <c r="Q121">
        <v>1.58</v>
      </c>
      <c r="R121">
        <v>2.15</v>
      </c>
      <c r="S121">
        <v>1.64</v>
      </c>
      <c r="T121">
        <f t="shared" si="87"/>
        <v>1.79</v>
      </c>
      <c r="U121">
        <f t="shared" si="88"/>
        <v>3.8687150837988828</v>
      </c>
      <c r="V121">
        <v>6.5</v>
      </c>
      <c r="W121">
        <v>4.2</v>
      </c>
      <c r="X121">
        <v>4.8</v>
      </c>
      <c r="Y121">
        <f t="shared" si="89"/>
        <v>5.166666666666667</v>
      </c>
      <c r="Z121">
        <f t="shared" si="90"/>
        <v>8.9796666666666691E-2</v>
      </c>
      <c r="AA121" t="s">
        <v>307</v>
      </c>
      <c r="AB121">
        <f>Z121*5*316</f>
        <v>141.87873333333337</v>
      </c>
      <c r="AC121">
        <f>AB121+AC120</f>
        <v>271.32405333333338</v>
      </c>
    </row>
    <row r="122" spans="1:36" x14ac:dyDescent="0.2">
      <c r="A122" s="8">
        <v>44105</v>
      </c>
      <c r="B122">
        <v>14</v>
      </c>
      <c r="D122">
        <v>68</v>
      </c>
      <c r="E122">
        <v>57</v>
      </c>
      <c r="F122">
        <f t="shared" si="82"/>
        <v>14</v>
      </c>
      <c r="G122">
        <f t="shared" si="83"/>
        <v>62.5</v>
      </c>
      <c r="H122">
        <v>0.71350000000000002</v>
      </c>
      <c r="I122">
        <f t="shared" si="84"/>
        <v>19.621583742116329</v>
      </c>
      <c r="K122">
        <v>9.1</v>
      </c>
      <c r="L122">
        <v>10.5</v>
      </c>
      <c r="M122">
        <v>180</v>
      </c>
      <c r="N122">
        <v>180</v>
      </c>
      <c r="O122">
        <f t="shared" si="85"/>
        <v>9.8000000000000007</v>
      </c>
      <c r="P122">
        <f t="shared" si="86"/>
        <v>180</v>
      </c>
      <c r="Q122">
        <v>1.6</v>
      </c>
      <c r="R122">
        <v>1.8</v>
      </c>
      <c r="S122">
        <v>1.56</v>
      </c>
      <c r="T122">
        <f t="shared" si="87"/>
        <v>1.6533333333333335</v>
      </c>
      <c r="U122">
        <f t="shared" si="88"/>
        <v>5.9274193548387091</v>
      </c>
      <c r="V122">
        <v>12</v>
      </c>
      <c r="W122">
        <v>7.6</v>
      </c>
      <c r="X122">
        <v>6.3</v>
      </c>
      <c r="Y122">
        <f t="shared" si="89"/>
        <v>8.6333333333333346</v>
      </c>
      <c r="Z122">
        <f t="shared" si="90"/>
        <v>0.1519466666666667</v>
      </c>
      <c r="AA122" t="s">
        <v>285</v>
      </c>
      <c r="AB122">
        <f>Z122*10*316</f>
        <v>480.15146666666675</v>
      </c>
      <c r="AC122">
        <f>AB122+AC121</f>
        <v>751.47552000000019</v>
      </c>
    </row>
    <row r="123" spans="1:36" x14ac:dyDescent="0.2">
      <c r="A123" t="s">
        <v>277</v>
      </c>
      <c r="B123">
        <v>14</v>
      </c>
      <c r="C123">
        <v>14</v>
      </c>
      <c r="D123">
        <v>53</v>
      </c>
      <c r="E123">
        <v>64</v>
      </c>
      <c r="F123">
        <f t="shared" si="82"/>
        <v>14</v>
      </c>
      <c r="G123">
        <f t="shared" si="83"/>
        <v>58.5</v>
      </c>
      <c r="H123">
        <v>0.88949999999999996</v>
      </c>
      <c r="I123">
        <f t="shared" si="84"/>
        <v>15.739179314221474</v>
      </c>
      <c r="K123">
        <v>16</v>
      </c>
      <c r="L123">
        <v>14.4</v>
      </c>
      <c r="M123">
        <v>170</v>
      </c>
      <c r="N123">
        <v>175</v>
      </c>
      <c r="O123">
        <f t="shared" si="85"/>
        <v>15.2</v>
      </c>
      <c r="P123">
        <f t="shared" si="86"/>
        <v>172.5</v>
      </c>
      <c r="Q123">
        <v>1.83</v>
      </c>
      <c r="R123">
        <v>1.49</v>
      </c>
      <c r="S123">
        <v>1.1100000000000001</v>
      </c>
      <c r="T123">
        <f t="shared" si="87"/>
        <v>1.4766666666666668</v>
      </c>
      <c r="U123">
        <f t="shared" si="88"/>
        <v>10.293453724604964</v>
      </c>
      <c r="V123">
        <v>9.5</v>
      </c>
      <c r="W123">
        <v>9</v>
      </c>
      <c r="X123">
        <v>10</v>
      </c>
      <c r="Y123">
        <f t="shared" si="89"/>
        <v>9.5</v>
      </c>
      <c r="Z123">
        <f t="shared" si="90"/>
        <v>0.19123500000000004</v>
      </c>
      <c r="AA123" t="s">
        <v>277</v>
      </c>
      <c r="AB123">
        <f>Z123*10*316</f>
        <v>604.3026000000001</v>
      </c>
      <c r="AC123">
        <f>AC122+AB123+AB124</f>
        <v>1851.6874533333339</v>
      </c>
    </row>
    <row r="124" spans="1:36" x14ac:dyDescent="0.2">
      <c r="A124" t="s">
        <v>290</v>
      </c>
      <c r="B124">
        <v>14</v>
      </c>
      <c r="C124">
        <v>13.5</v>
      </c>
      <c r="D124">
        <v>61</v>
      </c>
      <c r="E124">
        <v>54</v>
      </c>
      <c r="F124">
        <f t="shared" si="82"/>
        <v>13.75</v>
      </c>
      <c r="G124">
        <f t="shared" si="83"/>
        <v>57.5</v>
      </c>
      <c r="H124">
        <v>0.91549999999999998</v>
      </c>
      <c r="I124">
        <f t="shared" si="84"/>
        <v>15.019115237575097</v>
      </c>
      <c r="K124">
        <v>14</v>
      </c>
      <c r="L124">
        <v>14.2</v>
      </c>
      <c r="M124">
        <v>130</v>
      </c>
      <c r="N124">
        <v>125</v>
      </c>
      <c r="O124">
        <f t="shared" si="85"/>
        <v>14.1</v>
      </c>
      <c r="P124">
        <f t="shared" si="86"/>
        <v>127.5</v>
      </c>
      <c r="Q124">
        <v>1.07</v>
      </c>
      <c r="R124">
        <v>0.87</v>
      </c>
      <c r="S124">
        <v>0.59</v>
      </c>
      <c r="T124">
        <f t="shared" si="87"/>
        <v>0.84333333333333327</v>
      </c>
      <c r="U124">
        <f t="shared" si="88"/>
        <v>16.719367588932808</v>
      </c>
      <c r="V124">
        <v>12</v>
      </c>
      <c r="W124">
        <v>13</v>
      </c>
      <c r="X124">
        <v>15</v>
      </c>
      <c r="Y124">
        <f t="shared" si="89"/>
        <v>13.333333333333334</v>
      </c>
      <c r="Z124">
        <f t="shared" si="90"/>
        <v>0.15693333333333337</v>
      </c>
      <c r="AA124" t="s">
        <v>290</v>
      </c>
      <c r="AB124">
        <f>Z124*10*316</f>
        <v>495.90933333333345</v>
      </c>
    </row>
    <row r="127" spans="1:36" x14ac:dyDescent="0.2">
      <c r="J127">
        <v>2018</v>
      </c>
      <c r="T127">
        <v>1976</v>
      </c>
      <c r="X127" t="s">
        <v>135</v>
      </c>
      <c r="AA127">
        <v>2018</v>
      </c>
    </row>
    <row r="128" spans="1:36" x14ac:dyDescent="0.2">
      <c r="A128">
        <v>2018</v>
      </c>
      <c r="B128" t="s">
        <v>315</v>
      </c>
      <c r="C128" t="s">
        <v>119</v>
      </c>
      <c r="D128" t="s">
        <v>316</v>
      </c>
      <c r="E128" t="s">
        <v>50</v>
      </c>
      <c r="F128" t="s">
        <v>311</v>
      </c>
      <c r="G128" t="s">
        <v>313</v>
      </c>
      <c r="H128" t="s">
        <v>319</v>
      </c>
      <c r="I128" t="s">
        <v>346</v>
      </c>
      <c r="J128" t="s">
        <v>317</v>
      </c>
      <c r="K128" t="s">
        <v>119</v>
      </c>
      <c r="L128" t="s">
        <v>316</v>
      </c>
      <c r="M128" t="s">
        <v>50</v>
      </c>
      <c r="N128" t="s">
        <v>311</v>
      </c>
      <c r="O128" t="s">
        <v>313</v>
      </c>
      <c r="P128" t="s">
        <v>319</v>
      </c>
      <c r="Q128" t="s">
        <v>299</v>
      </c>
      <c r="R128" t="s">
        <v>328</v>
      </c>
      <c r="S128">
        <v>2</v>
      </c>
      <c r="T128">
        <v>31.2</v>
      </c>
      <c r="U128">
        <v>44.75</v>
      </c>
      <c r="V128">
        <v>46.8</v>
      </c>
      <c r="W128">
        <v>49.2</v>
      </c>
      <c r="X128">
        <f>AVERAGE(T128:W128)</f>
        <v>42.987499999999997</v>
      </c>
      <c r="Y128">
        <v>43</v>
      </c>
      <c r="AA128" t="s">
        <v>319</v>
      </c>
      <c r="AC128" t="s">
        <v>414</v>
      </c>
      <c r="AD128" t="s">
        <v>86</v>
      </c>
    </row>
    <row r="129" spans="1:31" x14ac:dyDescent="0.2">
      <c r="B129" t="s">
        <v>193</v>
      </c>
      <c r="C129">
        <v>3</v>
      </c>
      <c r="D129">
        <v>33.6</v>
      </c>
      <c r="E129">
        <v>1.8</v>
      </c>
      <c r="F129">
        <v>8.9</v>
      </c>
      <c r="G129">
        <f>F129/E129</f>
        <v>4.9444444444444446</v>
      </c>
      <c r="H129">
        <f>D129*4.4/E129</f>
        <v>82.133333333333354</v>
      </c>
      <c r="I129">
        <f>1.1*C129/100*E129</f>
        <v>5.9400000000000001E-2</v>
      </c>
      <c r="K129">
        <v>3.1</v>
      </c>
      <c r="L129">
        <v>41</v>
      </c>
      <c r="M129">
        <v>1.55</v>
      </c>
      <c r="N129">
        <v>8.5</v>
      </c>
      <c r="O129">
        <f>N129/M129</f>
        <v>5.4838709677419351</v>
      </c>
      <c r="P129">
        <f>L129*4.4/M129</f>
        <v>116.38709677419355</v>
      </c>
      <c r="Q129">
        <f>1.1*K129/100*M129</f>
        <v>5.2855000000000013E-2</v>
      </c>
      <c r="R129">
        <f>(D129+L129)/2</f>
        <v>37.299999999999997</v>
      </c>
      <c r="S129" s="1" t="s">
        <v>329</v>
      </c>
      <c r="T129">
        <v>28.15</v>
      </c>
      <c r="U129">
        <v>35.75</v>
      </c>
      <c r="V129">
        <v>47.2</v>
      </c>
      <c r="W129">
        <v>43.9</v>
      </c>
      <c r="X129">
        <f t="shared" ref="X129:X136" si="91">AVERAGE(T129:W129)</f>
        <v>38.75</v>
      </c>
      <c r="AA129">
        <v>82.133333333333354</v>
      </c>
      <c r="AB129">
        <v>116.38709677419355</v>
      </c>
      <c r="AC129">
        <f>AVERAGE(AA129:AB129)</f>
        <v>99.26021505376346</v>
      </c>
      <c r="AD129">
        <f>STDEV(AA129:AB129)</f>
        <v>24.221068410192057</v>
      </c>
      <c r="AE129" t="s">
        <v>415</v>
      </c>
    </row>
    <row r="130" spans="1:31" x14ac:dyDescent="0.2">
      <c r="B130" t="s">
        <v>306</v>
      </c>
      <c r="C130">
        <v>5</v>
      </c>
      <c r="D130">
        <v>32.700000000000003</v>
      </c>
      <c r="E130">
        <v>1.6</v>
      </c>
      <c r="F130">
        <v>11.2</v>
      </c>
      <c r="G130">
        <f t="shared" ref="G130:G134" si="92">F130/E130</f>
        <v>6.9999999999999991</v>
      </c>
      <c r="H130">
        <f t="shared" ref="H130:H134" si="93">D130*4.4/E130</f>
        <v>89.925000000000011</v>
      </c>
      <c r="I130">
        <f t="shared" ref="I130:I134" si="94">1.1*C130/100*E130</f>
        <v>8.8000000000000009E-2</v>
      </c>
      <c r="K130">
        <v>4.5</v>
      </c>
      <c r="L130">
        <v>40.700000000000003</v>
      </c>
      <c r="M130">
        <v>2.0499999999999998</v>
      </c>
      <c r="N130">
        <v>13</v>
      </c>
      <c r="O130">
        <f t="shared" ref="O130:O134" si="95">N130/M130</f>
        <v>6.3414634146341466</v>
      </c>
      <c r="P130">
        <f t="shared" ref="P130:P134" si="96">L130*4.4/M130</f>
        <v>87.356097560975641</v>
      </c>
      <c r="Q130">
        <f t="shared" ref="Q130:Q134" si="97">1.1*K130/100*M130</f>
        <v>0.101475</v>
      </c>
      <c r="R130">
        <f t="shared" ref="R130:R134" si="98">(D130+L130)/2</f>
        <v>36.700000000000003</v>
      </c>
      <c r="S130" t="s">
        <v>330</v>
      </c>
      <c r="T130">
        <v>23.17</v>
      </c>
      <c r="U130">
        <v>30.7</v>
      </c>
      <c r="V130">
        <v>45</v>
      </c>
      <c r="W130">
        <v>30</v>
      </c>
      <c r="X130">
        <v>43</v>
      </c>
      <c r="Y130">
        <f>AVERAGE(X129:X130)</f>
        <v>40.875</v>
      </c>
      <c r="AA130">
        <v>89.925000000000011</v>
      </c>
      <c r="AB130">
        <v>87.356097560975641</v>
      </c>
      <c r="AC130">
        <f t="shared" ref="AC130:AC134" si="99">AVERAGE(AA130:AB130)</f>
        <v>88.640548780487819</v>
      </c>
      <c r="AD130">
        <f t="shared" ref="AD130:AD134" si="100">STDEV(AA130:AB130)</f>
        <v>1.8164883348407936</v>
      </c>
      <c r="AE130" t="s">
        <v>416</v>
      </c>
    </row>
    <row r="131" spans="1:31" x14ac:dyDescent="0.2">
      <c r="B131" t="s">
        <v>307</v>
      </c>
      <c r="C131">
        <v>6.7</v>
      </c>
      <c r="D131">
        <v>32.700000000000003</v>
      </c>
      <c r="E131">
        <v>1.95</v>
      </c>
      <c r="F131">
        <v>12</v>
      </c>
      <c r="G131">
        <f t="shared" si="92"/>
        <v>6.1538461538461542</v>
      </c>
      <c r="H131">
        <f t="shared" si="93"/>
        <v>73.784615384615392</v>
      </c>
      <c r="I131">
        <f t="shared" si="94"/>
        <v>0.14371500000000004</v>
      </c>
      <c r="K131">
        <v>6.5</v>
      </c>
      <c r="L131">
        <v>36.299999999999997</v>
      </c>
      <c r="M131">
        <v>1.7</v>
      </c>
      <c r="N131">
        <v>15</v>
      </c>
      <c r="O131">
        <f t="shared" si="95"/>
        <v>8.8235294117647065</v>
      </c>
      <c r="P131">
        <f t="shared" si="96"/>
        <v>93.952941176470588</v>
      </c>
      <c r="Q131">
        <f t="shared" si="97"/>
        <v>0.12155000000000001</v>
      </c>
      <c r="R131">
        <f t="shared" si="98"/>
        <v>34.5</v>
      </c>
      <c r="S131" t="s">
        <v>331</v>
      </c>
      <c r="T131">
        <v>21.8</v>
      </c>
      <c r="U131">
        <v>25.5</v>
      </c>
      <c r="V131">
        <v>41.9</v>
      </c>
      <c r="W131">
        <v>21.85</v>
      </c>
      <c r="X131">
        <f t="shared" si="91"/>
        <v>27.762499999999996</v>
      </c>
      <c r="AA131">
        <v>73.784615384615392</v>
      </c>
      <c r="AB131">
        <v>93.952941176470588</v>
      </c>
      <c r="AC131">
        <f t="shared" si="99"/>
        <v>83.868778280542983</v>
      </c>
      <c r="AD131">
        <f t="shared" si="100"/>
        <v>14.261159932600451</v>
      </c>
      <c r="AE131" t="s">
        <v>417</v>
      </c>
    </row>
    <row r="132" spans="1:31" x14ac:dyDescent="0.2">
      <c r="B132" s="8" t="s">
        <v>285</v>
      </c>
      <c r="C132">
        <v>8.3000000000000007</v>
      </c>
      <c r="D132">
        <v>30</v>
      </c>
      <c r="E132">
        <v>1.55</v>
      </c>
      <c r="F132">
        <v>13.5</v>
      </c>
      <c r="G132">
        <f t="shared" si="92"/>
        <v>8.7096774193548381</v>
      </c>
      <c r="H132">
        <f t="shared" si="93"/>
        <v>85.161290322580641</v>
      </c>
      <c r="I132">
        <f t="shared" si="94"/>
        <v>0.141515</v>
      </c>
      <c r="K132">
        <v>13.9</v>
      </c>
      <c r="L132">
        <v>28</v>
      </c>
      <c r="M132">
        <v>0.92</v>
      </c>
      <c r="N132">
        <v>7.6</v>
      </c>
      <c r="O132">
        <f t="shared" si="95"/>
        <v>8.2608695652173907</v>
      </c>
      <c r="P132">
        <f t="shared" si="96"/>
        <v>133.91304347826087</v>
      </c>
      <c r="Q132">
        <f t="shared" si="97"/>
        <v>0.14066800000000002</v>
      </c>
      <c r="R132">
        <f t="shared" si="98"/>
        <v>29</v>
      </c>
      <c r="S132" t="s">
        <v>332</v>
      </c>
      <c r="T132">
        <v>16.3</v>
      </c>
      <c r="U132">
        <v>21.8</v>
      </c>
      <c r="V132">
        <v>43.7</v>
      </c>
      <c r="W132">
        <v>20</v>
      </c>
      <c r="X132">
        <f t="shared" si="91"/>
        <v>25.450000000000003</v>
      </c>
      <c r="Y132">
        <f>AVERAGE(X130:X132)</f>
        <v>32.070833333333333</v>
      </c>
      <c r="AA132">
        <v>85.161290322580641</v>
      </c>
      <c r="AB132">
        <v>133.91304347826087</v>
      </c>
      <c r="AC132">
        <f t="shared" si="99"/>
        <v>109.53716690042076</v>
      </c>
      <c r="AD132">
        <f t="shared" si="100"/>
        <v>34.472695251114175</v>
      </c>
      <c r="AE132" t="s">
        <v>418</v>
      </c>
    </row>
    <row r="133" spans="1:31" x14ac:dyDescent="0.2">
      <c r="B133" t="s">
        <v>277</v>
      </c>
      <c r="C133">
        <v>14.4</v>
      </c>
      <c r="D133">
        <v>29.7</v>
      </c>
      <c r="E133">
        <v>1</v>
      </c>
      <c r="F133">
        <v>15</v>
      </c>
      <c r="G133">
        <f t="shared" si="92"/>
        <v>15</v>
      </c>
      <c r="H133">
        <f t="shared" si="93"/>
        <v>130.68</v>
      </c>
      <c r="I133">
        <f t="shared" si="94"/>
        <v>0.15840000000000001</v>
      </c>
      <c r="K133">
        <v>9.43</v>
      </c>
      <c r="L133">
        <v>33</v>
      </c>
      <c r="M133">
        <v>1.7</v>
      </c>
      <c r="N133">
        <v>13.9</v>
      </c>
      <c r="O133">
        <f t="shared" si="95"/>
        <v>8.1764705882352953</v>
      </c>
      <c r="P133">
        <f t="shared" si="96"/>
        <v>85.411764705882362</v>
      </c>
      <c r="Q133">
        <f t="shared" si="97"/>
        <v>0.17634100000000003</v>
      </c>
      <c r="R133">
        <f t="shared" si="98"/>
        <v>31.35</v>
      </c>
      <c r="S133" t="s">
        <v>333</v>
      </c>
      <c r="T133">
        <v>16.3</v>
      </c>
      <c r="U133">
        <v>22.06</v>
      </c>
      <c r="V133">
        <v>44.2</v>
      </c>
      <c r="W133">
        <v>29.5</v>
      </c>
      <c r="X133">
        <f t="shared" si="91"/>
        <v>28.015000000000001</v>
      </c>
      <c r="AA133">
        <v>130.68</v>
      </c>
      <c r="AB133">
        <v>85.411764705882362</v>
      </c>
      <c r="AC133">
        <f t="shared" si="99"/>
        <v>108.04588235294119</v>
      </c>
      <c r="AD133">
        <f t="shared" si="100"/>
        <v>32.009476148818727</v>
      </c>
      <c r="AE133" t="s">
        <v>419</v>
      </c>
    </row>
    <row r="134" spans="1:31" x14ac:dyDescent="0.2">
      <c r="B134" t="s">
        <v>290</v>
      </c>
      <c r="C134">
        <v>14.2</v>
      </c>
      <c r="D134">
        <v>24.1</v>
      </c>
      <c r="E134">
        <v>0.88</v>
      </c>
      <c r="F134">
        <v>17.5</v>
      </c>
      <c r="G134">
        <f t="shared" si="92"/>
        <v>19.886363636363637</v>
      </c>
      <c r="H134">
        <f t="shared" si="93"/>
        <v>120.50000000000003</v>
      </c>
      <c r="I134">
        <f t="shared" si="94"/>
        <v>0.13745599999999999</v>
      </c>
      <c r="K134">
        <v>14.3</v>
      </c>
      <c r="L134">
        <v>20.2</v>
      </c>
      <c r="M134">
        <v>0.76</v>
      </c>
      <c r="N134">
        <v>18</v>
      </c>
      <c r="O134">
        <f t="shared" si="95"/>
        <v>23.684210526315788</v>
      </c>
      <c r="P134">
        <f t="shared" si="96"/>
        <v>116.94736842105264</v>
      </c>
      <c r="Q134">
        <f t="shared" si="97"/>
        <v>0.11954800000000002</v>
      </c>
      <c r="R134">
        <f t="shared" si="98"/>
        <v>22.15</v>
      </c>
      <c r="S134" t="s">
        <v>334</v>
      </c>
      <c r="T134">
        <v>17.8</v>
      </c>
      <c r="U134">
        <v>31.46</v>
      </c>
      <c r="V134">
        <v>35.4</v>
      </c>
      <c r="W134">
        <v>20</v>
      </c>
      <c r="X134">
        <f t="shared" si="91"/>
        <v>26.164999999999999</v>
      </c>
      <c r="AA134">
        <v>120.50000000000003</v>
      </c>
      <c r="AB134">
        <v>116.94736842105264</v>
      </c>
      <c r="AC134">
        <f t="shared" si="99"/>
        <v>118.72368421052633</v>
      </c>
      <c r="AD134">
        <f t="shared" si="100"/>
        <v>2.5120898805311667</v>
      </c>
      <c r="AE134" t="s">
        <v>420</v>
      </c>
    </row>
    <row r="135" spans="1:31" x14ac:dyDescent="0.2">
      <c r="S135">
        <v>14</v>
      </c>
      <c r="T135">
        <v>18</v>
      </c>
      <c r="U135">
        <v>29.96</v>
      </c>
      <c r="V135">
        <v>31.19</v>
      </c>
      <c r="W135">
        <v>18.2</v>
      </c>
      <c r="X135">
        <f t="shared" si="91"/>
        <v>24.337500000000002</v>
      </c>
    </row>
    <row r="136" spans="1:31" x14ac:dyDescent="0.2">
      <c r="S136">
        <v>16</v>
      </c>
      <c r="T136">
        <v>19.8</v>
      </c>
      <c r="U136">
        <v>34.799999999999997</v>
      </c>
      <c r="V136">
        <v>27.88</v>
      </c>
      <c r="W136">
        <v>35.4</v>
      </c>
      <c r="X136">
        <f t="shared" si="91"/>
        <v>29.47</v>
      </c>
      <c r="Y136">
        <f>AVERAGE(X132:X136)</f>
        <v>26.6875</v>
      </c>
    </row>
    <row r="137" spans="1:31" x14ac:dyDescent="0.2">
      <c r="A137" t="s">
        <v>318</v>
      </c>
      <c r="B137">
        <v>1976</v>
      </c>
      <c r="C137">
        <v>1988</v>
      </c>
      <c r="D137">
        <v>1993</v>
      </c>
      <c r="E137">
        <v>1997</v>
      </c>
      <c r="F137">
        <v>2002</v>
      </c>
      <c r="G137">
        <v>2009</v>
      </c>
      <c r="H137">
        <v>2014</v>
      </c>
      <c r="I137">
        <v>2018</v>
      </c>
      <c r="J137">
        <v>2018</v>
      </c>
      <c r="AA137">
        <v>2018</v>
      </c>
    </row>
    <row r="138" spans="1:31" x14ac:dyDescent="0.2">
      <c r="A138" t="s">
        <v>305</v>
      </c>
      <c r="B138">
        <v>2.6</v>
      </c>
      <c r="C138">
        <v>2.4833333333333334</v>
      </c>
      <c r="D138">
        <v>0.94750000000000001</v>
      </c>
      <c r="E138">
        <v>1.6833333333333336</v>
      </c>
      <c r="F138">
        <v>1.26</v>
      </c>
      <c r="G138" s="2">
        <f>(1.6+1.41+1.33)/3</f>
        <v>1.4466666666666665</v>
      </c>
      <c r="H138" s="2">
        <v>1.53</v>
      </c>
      <c r="I138">
        <v>1.8</v>
      </c>
      <c r="J138">
        <v>1.55</v>
      </c>
      <c r="L138">
        <v>1.26</v>
      </c>
      <c r="M138" s="2">
        <f>(1.6+1.41+1.33)/3</f>
        <v>1.4466666666666665</v>
      </c>
      <c r="N138" s="2">
        <f>(1.4+1.8+1.5)/3</f>
        <v>1.5666666666666667</v>
      </c>
      <c r="O138">
        <v>1.4424999999999999</v>
      </c>
      <c r="R138" t="s">
        <v>338</v>
      </c>
    </row>
    <row r="139" spans="1:31" x14ac:dyDescent="0.2">
      <c r="A139" s="1" t="s">
        <v>306</v>
      </c>
      <c r="B139">
        <v>1.69</v>
      </c>
      <c r="C139">
        <v>2.3366666666666664</v>
      </c>
      <c r="D139">
        <v>0.57399999999999995</v>
      </c>
      <c r="E139">
        <v>1.9333333333333333</v>
      </c>
      <c r="F139">
        <v>0.93333333333333324</v>
      </c>
      <c r="G139" s="2">
        <f>(1.41+1.53+1.16)/3</f>
        <v>1.3666666666666665</v>
      </c>
      <c r="H139" s="2">
        <v>1.55</v>
      </c>
      <c r="I139">
        <v>1.6</v>
      </c>
      <c r="J139">
        <v>2.0499999999999998</v>
      </c>
      <c r="L139">
        <v>0.95</v>
      </c>
      <c r="M139" s="2">
        <f>(1.41+1.53+1.16)/3</f>
        <v>1.3666666666666665</v>
      </c>
      <c r="N139" s="2">
        <f>(1.7+1.5+1.5)/3</f>
        <v>1.5666666666666667</v>
      </c>
      <c r="O139">
        <v>1.38</v>
      </c>
      <c r="R139" s="2" t="s">
        <v>327</v>
      </c>
      <c r="S139" s="2">
        <v>1976</v>
      </c>
      <c r="T139" s="2">
        <v>1988</v>
      </c>
      <c r="U139" s="2">
        <v>1993</v>
      </c>
      <c r="V139" s="2">
        <v>1997</v>
      </c>
      <c r="W139" s="2">
        <v>2002</v>
      </c>
      <c r="X139" s="2">
        <v>2009</v>
      </c>
      <c r="Y139" s="2">
        <v>2014</v>
      </c>
      <c r="Z139" s="2">
        <v>2018</v>
      </c>
    </row>
    <row r="140" spans="1:31" x14ac:dyDescent="0.2">
      <c r="A140" t="s">
        <v>307</v>
      </c>
      <c r="B140">
        <v>1</v>
      </c>
      <c r="C140">
        <v>1.9333333333333336</v>
      </c>
      <c r="D140">
        <v>0.64349999999999996</v>
      </c>
      <c r="E140">
        <v>1.79</v>
      </c>
      <c r="F140">
        <v>0.66</v>
      </c>
      <c r="G140" s="2">
        <f>(1.27+1.44+0.87)/3</f>
        <v>1.1933333333333334</v>
      </c>
      <c r="H140" s="2">
        <v>1.6</v>
      </c>
      <c r="I140">
        <v>1.95</v>
      </c>
      <c r="J140">
        <v>1.7</v>
      </c>
      <c r="L140">
        <v>0.66999999999999993</v>
      </c>
      <c r="M140" s="2">
        <f>(1.27+1.44+0.87)/3</f>
        <v>1.1933333333333334</v>
      </c>
      <c r="N140" s="2">
        <v>1.6</v>
      </c>
      <c r="O140">
        <v>1.2549999999999999</v>
      </c>
      <c r="R140" s="2" t="s">
        <v>305</v>
      </c>
      <c r="S140" s="2">
        <v>43</v>
      </c>
      <c r="T140" s="2">
        <v>42.266666666666673</v>
      </c>
      <c r="U140" s="2">
        <v>32.299999999999997</v>
      </c>
      <c r="V140" s="2">
        <v>45</v>
      </c>
      <c r="W140" s="2">
        <v>27.7</v>
      </c>
      <c r="X140" s="2">
        <v>35.75</v>
      </c>
      <c r="Y140" s="2">
        <v>35</v>
      </c>
      <c r="Z140" s="2">
        <v>37.299999999999997</v>
      </c>
    </row>
    <row r="141" spans="1:31" x14ac:dyDescent="0.2">
      <c r="A141" s="8" t="s">
        <v>285</v>
      </c>
      <c r="B141">
        <v>0.61</v>
      </c>
      <c r="C141">
        <v>1.41</v>
      </c>
      <c r="D141">
        <v>0.71350000000000002</v>
      </c>
      <c r="E141">
        <v>1.6533333333333335</v>
      </c>
      <c r="F141">
        <v>0.64349999999999996</v>
      </c>
      <c r="G141">
        <v>0.94</v>
      </c>
      <c r="H141" s="2">
        <v>1.115</v>
      </c>
      <c r="I141">
        <v>1.55</v>
      </c>
      <c r="J141">
        <v>0.92</v>
      </c>
      <c r="L141">
        <v>0.64349999999999996</v>
      </c>
      <c r="O141">
        <v>0.94</v>
      </c>
      <c r="R141" s="9" t="s">
        <v>306</v>
      </c>
      <c r="S141" s="2">
        <v>40.799999999999997</v>
      </c>
      <c r="T141" s="2">
        <v>39.833333333333336</v>
      </c>
      <c r="U141" s="2">
        <v>18</v>
      </c>
      <c r="V141" s="2">
        <v>42</v>
      </c>
      <c r="W141" s="2">
        <v>23.7</v>
      </c>
      <c r="X141" s="2">
        <v>31.4</v>
      </c>
      <c r="Y141" s="2">
        <v>33.75</v>
      </c>
      <c r="Z141" s="2">
        <v>36.700000000000003</v>
      </c>
    </row>
    <row r="142" spans="1:31" x14ac:dyDescent="0.2">
      <c r="A142" t="s">
        <v>277</v>
      </c>
      <c r="C142">
        <v>0.99</v>
      </c>
      <c r="D142">
        <v>0.88949999999999996</v>
      </c>
      <c r="E142">
        <v>1.4766666666666668</v>
      </c>
      <c r="F142">
        <v>0.58250000000000002</v>
      </c>
      <c r="G142">
        <v>0.64500000000000002</v>
      </c>
      <c r="H142" s="2">
        <v>0.79500000000000004</v>
      </c>
      <c r="I142">
        <v>1</v>
      </c>
      <c r="J142">
        <v>1.7</v>
      </c>
      <c r="L142">
        <v>0.58250000000000002</v>
      </c>
      <c r="O142">
        <v>0.64500000000000002</v>
      </c>
      <c r="R142" s="2" t="s">
        <v>307</v>
      </c>
      <c r="S142" s="2">
        <v>32</v>
      </c>
      <c r="T142" s="2">
        <v>36.033333333333339</v>
      </c>
      <c r="U142" s="2">
        <v>20.7</v>
      </c>
      <c r="V142" s="2">
        <v>35.75</v>
      </c>
      <c r="W142" s="2">
        <v>16.75</v>
      </c>
      <c r="X142" s="2">
        <v>28.35</v>
      </c>
      <c r="Y142" s="2">
        <v>28.75</v>
      </c>
      <c r="Z142" s="2">
        <v>34.5</v>
      </c>
    </row>
    <row r="143" spans="1:31" x14ac:dyDescent="0.2">
      <c r="A143" t="s">
        <v>290</v>
      </c>
      <c r="C143">
        <v>0.67</v>
      </c>
      <c r="D143">
        <v>0.91549999999999998</v>
      </c>
      <c r="E143">
        <v>0.84333333333333327</v>
      </c>
      <c r="F143">
        <v>0.54</v>
      </c>
      <c r="G143">
        <v>0.47349999999999998</v>
      </c>
      <c r="H143" s="2">
        <v>0.74</v>
      </c>
      <c r="I143">
        <v>0.88</v>
      </c>
      <c r="J143">
        <v>0.76</v>
      </c>
      <c r="L143">
        <v>0.54</v>
      </c>
      <c r="O143">
        <v>0.47350000000000003</v>
      </c>
      <c r="R143" s="10" t="s">
        <v>285</v>
      </c>
      <c r="S143" s="2">
        <v>27</v>
      </c>
      <c r="T143" s="2">
        <v>28.633333333333336</v>
      </c>
      <c r="U143" s="2">
        <v>21</v>
      </c>
      <c r="V143" s="2">
        <v>34</v>
      </c>
      <c r="W143" s="2">
        <v>18.024999999999999</v>
      </c>
      <c r="X143" s="2">
        <v>25.25</v>
      </c>
      <c r="Y143" s="2">
        <v>27.25</v>
      </c>
      <c r="Z143" s="2">
        <v>29</v>
      </c>
    </row>
    <row r="144" spans="1:31" x14ac:dyDescent="0.2">
      <c r="A144" t="s">
        <v>326</v>
      </c>
      <c r="B144">
        <f>AVERAGE(B138:B143)</f>
        <v>1.4750000000000001</v>
      </c>
      <c r="C144">
        <f t="shared" ref="C144:J144" si="101">AVERAGE(C138:C143)</f>
        <v>1.6372222222222224</v>
      </c>
      <c r="D144">
        <f t="shared" si="101"/>
        <v>0.7805833333333333</v>
      </c>
      <c r="E144">
        <f t="shared" si="101"/>
        <v>1.5633333333333335</v>
      </c>
      <c r="F144">
        <f t="shared" si="101"/>
        <v>0.76988888888888896</v>
      </c>
      <c r="G144">
        <f t="shared" si="101"/>
        <v>1.0108611111111108</v>
      </c>
      <c r="H144">
        <f t="shared" si="101"/>
        <v>1.2216666666666667</v>
      </c>
      <c r="I144">
        <f t="shared" si="101"/>
        <v>1.4633333333333336</v>
      </c>
      <c r="J144">
        <f t="shared" si="101"/>
        <v>1.4466666666666665</v>
      </c>
      <c r="R144" s="2" t="s">
        <v>277</v>
      </c>
      <c r="S144" s="2"/>
      <c r="T144" s="2">
        <v>23.066666666666666</v>
      </c>
      <c r="U144" s="2">
        <v>23.85</v>
      </c>
      <c r="V144" s="2">
        <v>24</v>
      </c>
      <c r="W144" s="2">
        <v>18.95</v>
      </c>
      <c r="X144" s="2">
        <v>18.350000000000001</v>
      </c>
      <c r="Y144" s="2">
        <v>22.65</v>
      </c>
      <c r="Z144" s="2">
        <v>31.35</v>
      </c>
    </row>
    <row r="145" spans="1:26" x14ac:dyDescent="0.2">
      <c r="A145" t="s">
        <v>320</v>
      </c>
      <c r="B145">
        <f>2*B138+3*B139+5*B140+10*B141</f>
        <v>21.369999999999997</v>
      </c>
      <c r="C145">
        <f>2*C138+3*C139+5*C140+10*C141+10*C142+10*C143</f>
        <v>52.343333333333334</v>
      </c>
      <c r="D145">
        <f t="shared" ref="D145:J145" si="102">2*D138+3*D139+5*D140+10*D141+10*D142+10*D143</f>
        <v>32.019500000000001</v>
      </c>
      <c r="E145">
        <f t="shared" si="102"/>
        <v>57.850000000000009</v>
      </c>
      <c r="F145">
        <f t="shared" si="102"/>
        <v>26.28</v>
      </c>
      <c r="G145">
        <f t="shared" si="102"/>
        <v>33.545000000000002</v>
      </c>
      <c r="H145">
        <f t="shared" si="102"/>
        <v>42.21</v>
      </c>
      <c r="I145">
        <f t="shared" si="102"/>
        <v>52.45</v>
      </c>
      <c r="J145">
        <f t="shared" si="102"/>
        <v>51.550000000000004</v>
      </c>
      <c r="R145" s="2" t="s">
        <v>290</v>
      </c>
      <c r="S145" s="2"/>
      <c r="T145" s="2">
        <v>20</v>
      </c>
      <c r="U145" s="2">
        <v>27</v>
      </c>
      <c r="V145" s="2">
        <v>19</v>
      </c>
      <c r="W145" s="2">
        <v>18.8</v>
      </c>
      <c r="X145" s="2">
        <v>25.9</v>
      </c>
      <c r="Y145" s="2">
        <v>26.25</v>
      </c>
      <c r="Z145" s="2">
        <v>22.15</v>
      </c>
    </row>
    <row r="146" spans="1:26" x14ac:dyDescent="0.2">
      <c r="A146" t="s">
        <v>3</v>
      </c>
      <c r="B146">
        <f>B145/20</f>
        <v>1.0684999999999998</v>
      </c>
      <c r="C146">
        <f>C145/40</f>
        <v>1.3085833333333334</v>
      </c>
      <c r="D146">
        <f t="shared" ref="D146:J146" si="103">D145/40</f>
        <v>0.80048750000000002</v>
      </c>
      <c r="E146">
        <f t="shared" si="103"/>
        <v>1.4462500000000003</v>
      </c>
      <c r="F146">
        <f t="shared" si="103"/>
        <v>0.65700000000000003</v>
      </c>
      <c r="G146">
        <f t="shared" si="103"/>
        <v>0.83862500000000006</v>
      </c>
      <c r="H146">
        <f t="shared" si="103"/>
        <v>1.05525</v>
      </c>
      <c r="I146">
        <f t="shared" si="103"/>
        <v>1.31125</v>
      </c>
      <c r="J146">
        <f t="shared" si="103"/>
        <v>1.2887500000000001</v>
      </c>
      <c r="K146" t="s">
        <v>301</v>
      </c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t="s">
        <v>325</v>
      </c>
      <c r="B147">
        <f>(2*B138+3*B139+B140*5)/10</f>
        <v>1.5269999999999999</v>
      </c>
      <c r="C147">
        <f t="shared" ref="C147:J147" si="104">(2*C138+3*C139+C140*5)/10</f>
        <v>2.1643333333333334</v>
      </c>
      <c r="D147">
        <f t="shared" si="104"/>
        <v>0.68345</v>
      </c>
      <c r="E147">
        <f t="shared" si="104"/>
        <v>1.8116666666666668</v>
      </c>
      <c r="F147">
        <f t="shared" si="104"/>
        <v>0.8620000000000001</v>
      </c>
      <c r="G147">
        <f t="shared" si="104"/>
        <v>1.2959999999999998</v>
      </c>
      <c r="H147">
        <f t="shared" si="104"/>
        <v>1.5710000000000002</v>
      </c>
      <c r="I147">
        <f t="shared" si="104"/>
        <v>1.8149999999999999</v>
      </c>
      <c r="J147">
        <f t="shared" si="104"/>
        <v>1.7749999999999999</v>
      </c>
      <c r="K147" t="s">
        <v>104</v>
      </c>
      <c r="Q147" t="s">
        <v>3</v>
      </c>
      <c r="R147" s="2" t="s">
        <v>294</v>
      </c>
      <c r="S147" s="2">
        <f>AVERAGE(S140:S141)</f>
        <v>41.9</v>
      </c>
      <c r="T147" s="2">
        <f t="shared" ref="T147:Z147" si="105">AVERAGE(T140:T141)</f>
        <v>41.050000000000004</v>
      </c>
      <c r="U147" s="2">
        <f t="shared" si="105"/>
        <v>25.15</v>
      </c>
      <c r="V147" s="2">
        <f t="shared" si="105"/>
        <v>43.5</v>
      </c>
      <c r="W147" s="2">
        <f t="shared" si="105"/>
        <v>25.7</v>
      </c>
      <c r="X147" s="2">
        <f t="shared" si="105"/>
        <v>33.575000000000003</v>
      </c>
      <c r="Y147" s="2">
        <f t="shared" si="105"/>
        <v>34.375</v>
      </c>
      <c r="Z147" s="2">
        <f t="shared" si="105"/>
        <v>37</v>
      </c>
    </row>
    <row r="148" spans="1:26" x14ac:dyDescent="0.2">
      <c r="R148" s="2" t="s">
        <v>259</v>
      </c>
      <c r="S148" s="2">
        <f>AVERAGE(S140:S142)</f>
        <v>38.6</v>
      </c>
      <c r="T148" s="2">
        <f t="shared" ref="T148:Z148" si="106">AVERAGE(T140:T142)</f>
        <v>39.377777777777787</v>
      </c>
      <c r="U148" s="2">
        <f t="shared" si="106"/>
        <v>23.666666666666668</v>
      </c>
      <c r="V148" s="2">
        <f t="shared" si="106"/>
        <v>40.916666666666664</v>
      </c>
      <c r="W148" s="2">
        <f t="shared" si="106"/>
        <v>22.716666666666669</v>
      </c>
      <c r="X148" s="2">
        <f t="shared" si="106"/>
        <v>31.833333333333332</v>
      </c>
      <c r="Y148" s="2">
        <f t="shared" si="106"/>
        <v>32.5</v>
      </c>
      <c r="Z148" s="2">
        <f t="shared" si="106"/>
        <v>36.166666666666664</v>
      </c>
    </row>
    <row r="149" spans="1:26" x14ac:dyDescent="0.2">
      <c r="A149">
        <v>2014</v>
      </c>
      <c r="B149" t="s">
        <v>322</v>
      </c>
      <c r="C149">
        <v>2</v>
      </c>
      <c r="D149" t="s">
        <v>323</v>
      </c>
      <c r="E149">
        <v>2</v>
      </c>
      <c r="F149" t="s">
        <v>323</v>
      </c>
      <c r="G149">
        <v>2</v>
      </c>
      <c r="I149" t="s">
        <v>110</v>
      </c>
      <c r="K149" t="s">
        <v>321</v>
      </c>
      <c r="L149" t="s">
        <v>339</v>
      </c>
      <c r="N149" t="s">
        <v>341</v>
      </c>
      <c r="P149" t="s">
        <v>343</v>
      </c>
      <c r="R149" s="10" t="s">
        <v>336</v>
      </c>
      <c r="S149" s="2">
        <f>AVERAGE(S143:S145)</f>
        <v>27</v>
      </c>
      <c r="T149" s="2">
        <f t="shared" ref="T149:U149" si="107">AVERAGE(T143:T145)</f>
        <v>23.900000000000002</v>
      </c>
      <c r="U149" s="2">
        <f t="shared" si="107"/>
        <v>23.95</v>
      </c>
      <c r="V149" s="2">
        <f t="shared" ref="V149:Z149" si="108">AVERAGE(V143:V145)</f>
        <v>25.666666666666668</v>
      </c>
      <c r="W149" s="2">
        <f t="shared" si="108"/>
        <v>18.591666666666665</v>
      </c>
      <c r="X149" s="2">
        <f t="shared" si="108"/>
        <v>23.166666666666668</v>
      </c>
      <c r="Y149" s="2">
        <f t="shared" si="108"/>
        <v>25.383333333333336</v>
      </c>
      <c r="Z149" s="2">
        <f t="shared" si="108"/>
        <v>27.5</v>
      </c>
    </row>
    <row r="150" spans="1:26" x14ac:dyDescent="0.2">
      <c r="A150" t="s">
        <v>81</v>
      </c>
      <c r="B150" t="s">
        <v>119</v>
      </c>
      <c r="D150" t="s">
        <v>321</v>
      </c>
      <c r="F150" t="s">
        <v>50</v>
      </c>
      <c r="H150" t="s">
        <v>135</v>
      </c>
      <c r="I150" t="s">
        <v>322</v>
      </c>
      <c r="J150" t="s">
        <v>324</v>
      </c>
      <c r="K150" t="s">
        <v>3</v>
      </c>
      <c r="M150" t="s">
        <v>340</v>
      </c>
      <c r="O150" s="1"/>
      <c r="P150" t="s">
        <v>344</v>
      </c>
    </row>
    <row r="151" spans="1:26" x14ac:dyDescent="0.2">
      <c r="A151" t="s">
        <v>305</v>
      </c>
      <c r="B151">
        <v>2.95</v>
      </c>
      <c r="C151">
        <v>3.3</v>
      </c>
      <c r="D151">
        <v>36</v>
      </c>
      <c r="E151">
        <v>34</v>
      </c>
      <c r="F151">
        <v>1.65</v>
      </c>
      <c r="G151">
        <v>1.4</v>
      </c>
      <c r="H151">
        <f>AVERAGE(F151:G151)</f>
        <v>1.5249999999999999</v>
      </c>
      <c r="I151">
        <f>D151*4.4/F151</f>
        <v>96.000000000000014</v>
      </c>
      <c r="J151">
        <f>E151*4.4/G151</f>
        <v>106.85714285714288</v>
      </c>
      <c r="K151">
        <f>(D151+E151)/2</f>
        <v>35</v>
      </c>
      <c r="L151">
        <f>AVERAGE(B151:C151)</f>
        <v>3.125</v>
      </c>
      <c r="M151">
        <f>11*H151*L151</f>
        <v>52.421874999999993</v>
      </c>
      <c r="N151" t="s">
        <v>95</v>
      </c>
      <c r="O151">
        <f>M151*2</f>
        <v>104.84374999999999</v>
      </c>
      <c r="P151">
        <f>O151*31.6*10</f>
        <v>33130.624999999993</v>
      </c>
      <c r="Q151" t="s">
        <v>325</v>
      </c>
      <c r="R151" t="s">
        <v>259</v>
      </c>
      <c r="S151">
        <f>(S140*2+S141*3+S142*5)/10</f>
        <v>36.839999999999996</v>
      </c>
      <c r="T151">
        <f t="shared" ref="T151:Z151" si="109">(T140*2+T141*3+T142*5)/10</f>
        <v>38.42</v>
      </c>
      <c r="U151">
        <f t="shared" si="109"/>
        <v>22.21</v>
      </c>
      <c r="V151">
        <f t="shared" si="109"/>
        <v>39.475000000000001</v>
      </c>
      <c r="W151">
        <f t="shared" si="109"/>
        <v>21.024999999999999</v>
      </c>
      <c r="X151">
        <f t="shared" si="109"/>
        <v>30.744999999999997</v>
      </c>
      <c r="Y151">
        <f t="shared" si="109"/>
        <v>31.5</v>
      </c>
      <c r="Z151">
        <f t="shared" si="109"/>
        <v>35.72</v>
      </c>
    </row>
    <row r="152" spans="1:26" x14ac:dyDescent="0.2">
      <c r="A152" s="1" t="s">
        <v>306</v>
      </c>
      <c r="B152">
        <v>4.3</v>
      </c>
      <c r="C152">
        <v>4.9000000000000004</v>
      </c>
      <c r="D152">
        <v>34.5</v>
      </c>
      <c r="E152">
        <v>33</v>
      </c>
      <c r="F152">
        <v>1.6</v>
      </c>
      <c r="G152">
        <v>1.5</v>
      </c>
      <c r="H152">
        <f t="shared" ref="H152:H156" si="110">AVERAGE(F152:G152)</f>
        <v>1.55</v>
      </c>
      <c r="I152">
        <f t="shared" ref="I152:I156" si="111">D152*4.4/F152</f>
        <v>94.875</v>
      </c>
      <c r="J152">
        <f t="shared" ref="J152:J156" si="112">E152*4.4/G152</f>
        <v>96.800000000000011</v>
      </c>
      <c r="K152">
        <f t="shared" ref="K152:K156" si="113">(D152+E152)/2</f>
        <v>33.75</v>
      </c>
      <c r="L152">
        <f t="shared" ref="L152:L156" si="114">AVERAGE(B152:C152)</f>
        <v>4.5999999999999996</v>
      </c>
      <c r="M152">
        <f t="shared" ref="M152:M156" si="115">11*H152*L152</f>
        <v>78.429999999999993</v>
      </c>
      <c r="N152" t="s">
        <v>205</v>
      </c>
      <c r="O152">
        <f>M152*3+O151</f>
        <v>340.13374999999996</v>
      </c>
      <c r="P152">
        <f t="shared" ref="P152:P155" si="116">O152*31.6*10</f>
        <v>107482.26499999998</v>
      </c>
      <c r="Q152" t="s">
        <v>325</v>
      </c>
      <c r="R152" t="s">
        <v>337</v>
      </c>
      <c r="S152">
        <v>27</v>
      </c>
      <c r="T152">
        <f>(T151*10+T143*10+T144*10+T145*10)/40</f>
        <v>27.53</v>
      </c>
      <c r="U152">
        <f t="shared" ref="U152:Z152" si="117">(U151*10+U143*10+U144*10+U145*10)/40</f>
        <v>23.515000000000001</v>
      </c>
      <c r="V152">
        <f t="shared" si="117"/>
        <v>29.118749999999999</v>
      </c>
      <c r="W152">
        <f t="shared" si="117"/>
        <v>19.2</v>
      </c>
      <c r="X152">
        <f t="shared" si="117"/>
        <v>25.061250000000001</v>
      </c>
      <c r="Y152">
        <f t="shared" si="117"/>
        <v>26.912500000000001</v>
      </c>
      <c r="Z152">
        <f t="shared" si="117"/>
        <v>29.555</v>
      </c>
    </row>
    <row r="153" spans="1:26" x14ac:dyDescent="0.2">
      <c r="A153" t="s">
        <v>307</v>
      </c>
      <c r="B153">
        <v>5.65</v>
      </c>
      <c r="C153">
        <v>6.4</v>
      </c>
      <c r="D153">
        <v>31.5</v>
      </c>
      <c r="E153">
        <v>26</v>
      </c>
      <c r="F153">
        <v>1.6</v>
      </c>
      <c r="G153">
        <v>1.6</v>
      </c>
      <c r="H153">
        <f t="shared" si="110"/>
        <v>1.6</v>
      </c>
      <c r="I153">
        <f t="shared" si="111"/>
        <v>86.625000000000014</v>
      </c>
      <c r="J153">
        <f t="shared" si="112"/>
        <v>71.5</v>
      </c>
      <c r="K153">
        <f t="shared" si="113"/>
        <v>28.75</v>
      </c>
      <c r="L153">
        <f t="shared" si="114"/>
        <v>6.0250000000000004</v>
      </c>
      <c r="M153">
        <f t="shared" si="115"/>
        <v>106.04000000000002</v>
      </c>
      <c r="N153" t="s">
        <v>104</v>
      </c>
      <c r="O153">
        <f>M153*5+O152</f>
        <v>870.33375000000001</v>
      </c>
      <c r="P153">
        <f t="shared" si="116"/>
        <v>275025.46500000003</v>
      </c>
    </row>
    <row r="154" spans="1:26" x14ac:dyDescent="0.2">
      <c r="A154" s="8" t="s">
        <v>285</v>
      </c>
      <c r="B154">
        <v>8.6</v>
      </c>
      <c r="C154">
        <v>8.1</v>
      </c>
      <c r="D154">
        <v>24.5</v>
      </c>
      <c r="E154">
        <v>30</v>
      </c>
      <c r="F154">
        <v>1.03</v>
      </c>
      <c r="G154">
        <v>1.2</v>
      </c>
      <c r="H154">
        <f t="shared" si="110"/>
        <v>1.115</v>
      </c>
      <c r="I154">
        <f t="shared" si="111"/>
        <v>104.66019417475729</v>
      </c>
      <c r="J154">
        <f t="shared" si="112"/>
        <v>110</v>
      </c>
      <c r="K154">
        <f t="shared" si="113"/>
        <v>27.25</v>
      </c>
      <c r="L154">
        <f t="shared" si="114"/>
        <v>8.35</v>
      </c>
      <c r="M154">
        <f t="shared" si="115"/>
        <v>102.41275</v>
      </c>
      <c r="N154" t="s">
        <v>342</v>
      </c>
      <c r="O154">
        <f>M154*10+O153</f>
        <v>1894.4612500000001</v>
      </c>
      <c r="P154">
        <f t="shared" si="116"/>
        <v>598649.75500000012</v>
      </c>
    </row>
    <row r="155" spans="1:26" x14ac:dyDescent="0.2">
      <c r="A155" t="s">
        <v>277</v>
      </c>
      <c r="B155">
        <v>12</v>
      </c>
      <c r="C155">
        <v>10</v>
      </c>
      <c r="D155">
        <v>16.3</v>
      </c>
      <c r="E155">
        <v>29</v>
      </c>
      <c r="F155">
        <v>0.59</v>
      </c>
      <c r="G155">
        <v>1</v>
      </c>
      <c r="H155">
        <f t="shared" si="110"/>
        <v>0.79499999999999993</v>
      </c>
      <c r="I155">
        <f t="shared" si="111"/>
        <v>121.55932203389834</v>
      </c>
      <c r="J155">
        <f t="shared" si="112"/>
        <v>127.60000000000001</v>
      </c>
      <c r="K155">
        <f t="shared" si="113"/>
        <v>22.65</v>
      </c>
      <c r="L155">
        <f t="shared" si="114"/>
        <v>11</v>
      </c>
      <c r="M155">
        <f t="shared" si="115"/>
        <v>96.194999999999993</v>
      </c>
      <c r="N155" t="s">
        <v>301</v>
      </c>
      <c r="O155">
        <f>M155*10+M156*10+O154</f>
        <v>4077.4112500000001</v>
      </c>
      <c r="P155">
        <f t="shared" si="116"/>
        <v>1288461.9550000001</v>
      </c>
    </row>
    <row r="156" spans="1:26" x14ac:dyDescent="0.2">
      <c r="A156" t="s">
        <v>290</v>
      </c>
      <c r="B156">
        <v>19</v>
      </c>
      <c r="C156">
        <v>11</v>
      </c>
      <c r="D156">
        <v>16.5</v>
      </c>
      <c r="E156">
        <v>36</v>
      </c>
      <c r="F156">
        <v>0.76</v>
      </c>
      <c r="G156">
        <v>0.72</v>
      </c>
      <c r="H156">
        <f t="shared" si="110"/>
        <v>0.74</v>
      </c>
      <c r="I156">
        <f t="shared" si="111"/>
        <v>95.526315789473699</v>
      </c>
      <c r="J156">
        <f t="shared" si="112"/>
        <v>220.00000000000003</v>
      </c>
      <c r="K156">
        <f t="shared" si="113"/>
        <v>26.25</v>
      </c>
      <c r="L156">
        <f t="shared" si="114"/>
        <v>15</v>
      </c>
      <c r="M156">
        <f t="shared" si="115"/>
        <v>122.10000000000001</v>
      </c>
    </row>
    <row r="158" spans="1:26" x14ac:dyDescent="0.2">
      <c r="B158" t="s">
        <v>322</v>
      </c>
      <c r="C158">
        <v>2</v>
      </c>
      <c r="D158" t="s">
        <v>323</v>
      </c>
      <c r="E158">
        <v>2</v>
      </c>
      <c r="F158" t="s">
        <v>323</v>
      </c>
      <c r="G158">
        <v>2</v>
      </c>
      <c r="I158" t="s">
        <v>110</v>
      </c>
      <c r="K158" t="s">
        <v>335</v>
      </c>
      <c r="L158" t="s">
        <v>339</v>
      </c>
      <c r="N158" t="s">
        <v>341</v>
      </c>
      <c r="P158" t="s">
        <v>343</v>
      </c>
    </row>
    <row r="159" spans="1:26" x14ac:dyDescent="0.2">
      <c r="A159">
        <v>2009</v>
      </c>
      <c r="B159" t="s">
        <v>119</v>
      </c>
      <c r="D159" t="s">
        <v>321</v>
      </c>
      <c r="F159" t="s">
        <v>50</v>
      </c>
      <c r="H159" t="s">
        <v>135</v>
      </c>
      <c r="I159" t="s">
        <v>322</v>
      </c>
      <c r="J159" t="s">
        <v>324</v>
      </c>
      <c r="M159" t="s">
        <v>340</v>
      </c>
      <c r="O159" s="1"/>
      <c r="P159" t="s">
        <v>344</v>
      </c>
    </row>
    <row r="160" spans="1:26" x14ac:dyDescent="0.2">
      <c r="A160" t="s">
        <v>305</v>
      </c>
      <c r="B160">
        <v>2.96</v>
      </c>
      <c r="C160">
        <v>3.2</v>
      </c>
      <c r="D160">
        <v>35.9</v>
      </c>
      <c r="E160">
        <v>35.6</v>
      </c>
      <c r="F160">
        <v>1.4750000000000001</v>
      </c>
      <c r="G160">
        <v>1.41</v>
      </c>
      <c r="H160">
        <f>AVERAGE(F160:G160)</f>
        <v>1.4424999999999999</v>
      </c>
      <c r="I160">
        <f>D160*4.4/F160</f>
        <v>107.09152542372881</v>
      </c>
      <c r="J160">
        <f>E160*4.4/G160</f>
        <v>111.0921985815603</v>
      </c>
      <c r="K160">
        <f>(D160+E160)/2</f>
        <v>35.75</v>
      </c>
      <c r="L160">
        <f>AVERAGE(B160:C160)</f>
        <v>3.08</v>
      </c>
      <c r="M160">
        <f>11*H160*L160</f>
        <v>48.871900000000004</v>
      </c>
      <c r="N160" t="s">
        <v>95</v>
      </c>
      <c r="O160">
        <f>M160*2</f>
        <v>97.743800000000007</v>
      </c>
      <c r="P160">
        <f>O160*10*31.6</f>
        <v>30887.040800000006</v>
      </c>
    </row>
    <row r="161" spans="1:16" x14ac:dyDescent="0.2">
      <c r="A161" s="1" t="s">
        <v>306</v>
      </c>
      <c r="B161">
        <v>5.65</v>
      </c>
      <c r="C161">
        <v>5.5</v>
      </c>
      <c r="D161">
        <v>31</v>
      </c>
      <c r="E161">
        <v>31.8</v>
      </c>
      <c r="F161">
        <v>1.35</v>
      </c>
      <c r="G161">
        <v>1.41</v>
      </c>
      <c r="H161">
        <f t="shared" ref="H161:H165" si="118">AVERAGE(F161:G161)</f>
        <v>1.38</v>
      </c>
      <c r="I161">
        <f t="shared" ref="I161:I165" si="119">D161*4.4/F161</f>
        <v>101.03703703703704</v>
      </c>
      <c r="J161">
        <f t="shared" ref="J161:J165" si="120">E161*4.4/G161</f>
        <v>99.2340425531915</v>
      </c>
      <c r="K161">
        <f t="shared" ref="K161:K165" si="121">(D161+E161)/2</f>
        <v>31.4</v>
      </c>
      <c r="L161">
        <f t="shared" ref="L161:L165" si="122">AVERAGE(B161:C161)</f>
        <v>5.5750000000000002</v>
      </c>
      <c r="M161">
        <f t="shared" ref="M161:M165" si="123">11*H161*L161</f>
        <v>84.628500000000003</v>
      </c>
      <c r="N161" t="s">
        <v>205</v>
      </c>
      <c r="O161">
        <f>3*M161+O160</f>
        <v>351.6293</v>
      </c>
      <c r="P161">
        <f t="shared" ref="P161:P164" si="124">O161*10*31.6</f>
        <v>111114.8588</v>
      </c>
    </row>
    <row r="162" spans="1:16" x14ac:dyDescent="0.2">
      <c r="A162" t="s">
        <v>307</v>
      </c>
      <c r="B162">
        <v>8.3000000000000007</v>
      </c>
      <c r="C162">
        <v>6.8</v>
      </c>
      <c r="D162">
        <v>25</v>
      </c>
      <c r="E162">
        <v>31.7</v>
      </c>
      <c r="F162">
        <v>1.07</v>
      </c>
      <c r="G162">
        <v>1.44</v>
      </c>
      <c r="H162">
        <f t="shared" si="118"/>
        <v>1.2549999999999999</v>
      </c>
      <c r="I162">
        <f t="shared" si="119"/>
        <v>102.80373831775702</v>
      </c>
      <c r="J162">
        <f t="shared" si="120"/>
        <v>96.861111111111128</v>
      </c>
      <c r="K162">
        <f t="shared" si="121"/>
        <v>28.35</v>
      </c>
      <c r="L162">
        <f t="shared" si="122"/>
        <v>7.5500000000000007</v>
      </c>
      <c r="M162">
        <f t="shared" si="123"/>
        <v>104.22775000000001</v>
      </c>
      <c r="N162" t="s">
        <v>104</v>
      </c>
      <c r="O162">
        <f>5*M162+O161</f>
        <v>872.76805000000013</v>
      </c>
      <c r="P162">
        <f t="shared" si="124"/>
        <v>275794.70380000008</v>
      </c>
    </row>
    <row r="163" spans="1:16" x14ac:dyDescent="0.2">
      <c r="A163" s="8" t="s">
        <v>285</v>
      </c>
      <c r="B163">
        <v>11.7</v>
      </c>
      <c r="C163">
        <v>8.6999999999999993</v>
      </c>
      <c r="D163">
        <v>19.5</v>
      </c>
      <c r="E163">
        <v>31</v>
      </c>
      <c r="F163">
        <v>0.69</v>
      </c>
      <c r="G163">
        <v>1.19</v>
      </c>
      <c r="H163">
        <f t="shared" si="118"/>
        <v>0.94</v>
      </c>
      <c r="I163">
        <f t="shared" si="119"/>
        <v>124.34782608695654</v>
      </c>
      <c r="J163">
        <f t="shared" si="120"/>
        <v>114.6218487394958</v>
      </c>
      <c r="K163">
        <f t="shared" si="121"/>
        <v>25.25</v>
      </c>
      <c r="L163">
        <f t="shared" si="122"/>
        <v>10.199999999999999</v>
      </c>
      <c r="M163">
        <f t="shared" si="123"/>
        <v>105.46799999999999</v>
      </c>
      <c r="N163" t="s">
        <v>342</v>
      </c>
      <c r="O163">
        <f>10*M163+O162</f>
        <v>1927.44805</v>
      </c>
      <c r="P163">
        <f t="shared" si="124"/>
        <v>609073.58379999991</v>
      </c>
    </row>
    <row r="164" spans="1:16" x14ac:dyDescent="0.2">
      <c r="A164" t="s">
        <v>277</v>
      </c>
      <c r="B164">
        <v>12.8</v>
      </c>
      <c r="C164">
        <v>20</v>
      </c>
      <c r="D164">
        <v>13.9</v>
      </c>
      <c r="E164">
        <v>22.8</v>
      </c>
      <c r="F164">
        <v>0.49</v>
      </c>
      <c r="G164">
        <v>0.8</v>
      </c>
      <c r="H164">
        <f t="shared" si="118"/>
        <v>0.64500000000000002</v>
      </c>
      <c r="I164">
        <f t="shared" si="119"/>
        <v>124.81632653061226</v>
      </c>
      <c r="J164">
        <f t="shared" si="120"/>
        <v>125.4</v>
      </c>
      <c r="K164">
        <f t="shared" si="121"/>
        <v>18.350000000000001</v>
      </c>
      <c r="L164">
        <f t="shared" si="122"/>
        <v>16.399999999999999</v>
      </c>
      <c r="M164">
        <f t="shared" si="123"/>
        <v>116.358</v>
      </c>
      <c r="N164" t="s">
        <v>301</v>
      </c>
      <c r="O164">
        <f>10*M164+10*M165+O163</f>
        <v>3815.0095499999998</v>
      </c>
      <c r="P164">
        <f t="shared" si="124"/>
        <v>1205543.0178</v>
      </c>
    </row>
    <row r="165" spans="1:16" x14ac:dyDescent="0.2">
      <c r="A165" t="s">
        <v>290</v>
      </c>
      <c r="B165">
        <v>15.8</v>
      </c>
      <c r="C165">
        <v>12</v>
      </c>
      <c r="D165">
        <v>15</v>
      </c>
      <c r="E165">
        <v>36.799999999999997</v>
      </c>
      <c r="F165">
        <v>0.38500000000000001</v>
      </c>
      <c r="G165">
        <v>0.56200000000000006</v>
      </c>
      <c r="H165">
        <f t="shared" si="118"/>
        <v>0.47350000000000003</v>
      </c>
      <c r="I165">
        <f t="shared" si="119"/>
        <v>171.42857142857142</v>
      </c>
      <c r="J165">
        <f t="shared" si="120"/>
        <v>288.11387900355868</v>
      </c>
      <c r="K165">
        <f t="shared" si="121"/>
        <v>25.9</v>
      </c>
      <c r="L165">
        <f t="shared" si="122"/>
        <v>13.9</v>
      </c>
      <c r="M165">
        <f t="shared" si="123"/>
        <v>72.398150000000015</v>
      </c>
    </row>
    <row r="167" spans="1:16" x14ac:dyDescent="0.2">
      <c r="A167">
        <v>2002</v>
      </c>
      <c r="B167" t="s">
        <v>322</v>
      </c>
      <c r="C167">
        <v>2</v>
      </c>
      <c r="D167" t="s">
        <v>323</v>
      </c>
      <c r="E167">
        <v>2</v>
      </c>
      <c r="F167" t="s">
        <v>323</v>
      </c>
      <c r="G167">
        <v>2</v>
      </c>
      <c r="I167" t="s">
        <v>110</v>
      </c>
      <c r="K167" t="s">
        <v>335</v>
      </c>
      <c r="N167" t="s">
        <v>341</v>
      </c>
    </row>
    <row r="168" spans="1:16" x14ac:dyDescent="0.2">
      <c r="B168" t="s">
        <v>119</v>
      </c>
      <c r="D168" t="s">
        <v>321</v>
      </c>
      <c r="F168" t="s">
        <v>50</v>
      </c>
      <c r="H168" t="s">
        <v>135</v>
      </c>
      <c r="I168" t="s">
        <v>322</v>
      </c>
      <c r="J168" t="s">
        <v>324</v>
      </c>
      <c r="L168" t="s">
        <v>339</v>
      </c>
      <c r="M168" t="s">
        <v>340</v>
      </c>
    </row>
    <row r="169" spans="1:16" x14ac:dyDescent="0.2">
      <c r="A169" t="s">
        <v>305</v>
      </c>
      <c r="B169">
        <v>5.25</v>
      </c>
      <c r="C169">
        <v>5.7</v>
      </c>
      <c r="D169">
        <v>28.5</v>
      </c>
      <c r="E169">
        <v>26.9</v>
      </c>
      <c r="F169">
        <v>1.32</v>
      </c>
      <c r="G169">
        <v>1.2</v>
      </c>
      <c r="H169">
        <f>AVERAGE(F169:G169)</f>
        <v>1.26</v>
      </c>
      <c r="I169">
        <f>D169*4.4/F169</f>
        <v>95</v>
      </c>
      <c r="J169">
        <f>E169*4.4/G169</f>
        <v>98.63333333333334</v>
      </c>
      <c r="K169">
        <f>AVERAGE(D169:E169)</f>
        <v>27.7</v>
      </c>
      <c r="L169">
        <f>AVERAGE(B169:C169)</f>
        <v>5.4749999999999996</v>
      </c>
      <c r="M169">
        <f>11*H169*L169</f>
        <v>75.883499999999998</v>
      </c>
      <c r="N169" t="s">
        <v>95</v>
      </c>
      <c r="O169">
        <f>M169*2</f>
        <v>151.767</v>
      </c>
      <c r="P169">
        <f>O169*31.6/100</f>
        <v>47.958371999999997</v>
      </c>
    </row>
    <row r="170" spans="1:16" x14ac:dyDescent="0.2">
      <c r="A170" s="1" t="s">
        <v>306</v>
      </c>
      <c r="B170">
        <v>9.3000000000000007</v>
      </c>
      <c r="C170">
        <v>16.5</v>
      </c>
      <c r="D170">
        <v>24</v>
      </c>
      <c r="E170">
        <v>23.4</v>
      </c>
      <c r="F170">
        <v>1.2</v>
      </c>
      <c r="G170">
        <v>0.7</v>
      </c>
      <c r="H170">
        <f t="shared" ref="H170:H174" si="125">AVERAGE(F170:G170)</f>
        <v>0.95</v>
      </c>
      <c r="I170">
        <f t="shared" ref="I170:I174" si="126">D170*4.4/F170</f>
        <v>88.000000000000014</v>
      </c>
      <c r="J170">
        <f t="shared" ref="J170:J174" si="127">E170*4.4/G170</f>
        <v>147.08571428571432</v>
      </c>
      <c r="K170">
        <f t="shared" ref="K170:K174" si="128">AVERAGE(D170:E170)</f>
        <v>23.7</v>
      </c>
      <c r="L170">
        <f t="shared" ref="L170:L174" si="129">AVERAGE(B170:C170)</f>
        <v>12.9</v>
      </c>
      <c r="M170">
        <f t="shared" ref="M170:M174" si="130">11*H170*L170</f>
        <v>134.80500000000001</v>
      </c>
      <c r="N170" t="s">
        <v>205</v>
      </c>
      <c r="O170">
        <f>M170*3+O169</f>
        <v>556.18200000000002</v>
      </c>
      <c r="P170">
        <f t="shared" ref="P170:P173" si="131">O170*31.6/100</f>
        <v>175.753512</v>
      </c>
    </row>
    <row r="171" spans="1:16" x14ac:dyDescent="0.2">
      <c r="A171" t="s">
        <v>307</v>
      </c>
      <c r="B171">
        <v>11.9</v>
      </c>
      <c r="C171">
        <v>18.100000000000001</v>
      </c>
      <c r="D171">
        <v>16.899999999999999</v>
      </c>
      <c r="E171">
        <v>16.600000000000001</v>
      </c>
      <c r="F171">
        <v>0.64</v>
      </c>
      <c r="G171">
        <v>0.7</v>
      </c>
      <c r="H171">
        <f t="shared" si="125"/>
        <v>0.66999999999999993</v>
      </c>
      <c r="I171">
        <f t="shared" si="126"/>
        <v>116.1875</v>
      </c>
      <c r="J171">
        <f t="shared" si="127"/>
        <v>104.34285714285716</v>
      </c>
      <c r="K171">
        <f t="shared" si="128"/>
        <v>16.75</v>
      </c>
      <c r="L171">
        <f t="shared" si="129"/>
        <v>15</v>
      </c>
      <c r="M171">
        <f t="shared" si="130"/>
        <v>110.54999999999998</v>
      </c>
      <c r="N171" t="s">
        <v>104</v>
      </c>
      <c r="O171">
        <f>M171*5+O170</f>
        <v>1108.9319999999998</v>
      </c>
      <c r="P171">
        <f t="shared" si="131"/>
        <v>350.42251199999993</v>
      </c>
    </row>
    <row r="172" spans="1:16" x14ac:dyDescent="0.2">
      <c r="A172" s="8" t="s">
        <v>285</v>
      </c>
      <c r="B172">
        <v>15.9</v>
      </c>
      <c r="C172">
        <v>19.7</v>
      </c>
      <c r="D172">
        <v>18.45</v>
      </c>
      <c r="E172">
        <v>17.600000000000001</v>
      </c>
      <c r="F172">
        <v>0.625</v>
      </c>
      <c r="G172">
        <v>0.66200000000000003</v>
      </c>
      <c r="H172">
        <f t="shared" si="125"/>
        <v>0.64349999999999996</v>
      </c>
      <c r="I172">
        <f t="shared" si="126"/>
        <v>129.88800000000001</v>
      </c>
      <c r="J172">
        <f t="shared" si="127"/>
        <v>116.97885196374624</v>
      </c>
      <c r="K172">
        <f t="shared" si="128"/>
        <v>18.024999999999999</v>
      </c>
      <c r="L172">
        <f t="shared" si="129"/>
        <v>17.8</v>
      </c>
      <c r="M172">
        <f t="shared" si="130"/>
        <v>125.99730000000001</v>
      </c>
      <c r="N172" t="s">
        <v>342</v>
      </c>
      <c r="O172">
        <f>M172*10+O171</f>
        <v>2368.9049999999997</v>
      </c>
      <c r="P172">
        <f t="shared" si="131"/>
        <v>748.57398000000001</v>
      </c>
    </row>
    <row r="173" spans="1:16" x14ac:dyDescent="0.2">
      <c r="A173" t="s">
        <v>277</v>
      </c>
      <c r="B173">
        <v>15.45</v>
      </c>
      <c r="C173">
        <v>21.6</v>
      </c>
      <c r="D173">
        <v>20.2</v>
      </c>
      <c r="E173">
        <v>17.7</v>
      </c>
      <c r="F173">
        <v>0.63500000000000001</v>
      </c>
      <c r="G173">
        <v>0.53</v>
      </c>
      <c r="H173">
        <f t="shared" si="125"/>
        <v>0.58250000000000002</v>
      </c>
      <c r="I173">
        <f t="shared" si="126"/>
        <v>139.96850393700788</v>
      </c>
      <c r="J173">
        <f t="shared" si="127"/>
        <v>146.9433962264151</v>
      </c>
      <c r="K173">
        <f t="shared" si="128"/>
        <v>18.95</v>
      </c>
      <c r="L173">
        <f t="shared" si="129"/>
        <v>18.524999999999999</v>
      </c>
      <c r="M173">
        <f t="shared" si="130"/>
        <v>118.6989375</v>
      </c>
      <c r="N173" t="s">
        <v>301</v>
      </c>
      <c r="O173">
        <f>M173*20+O172</f>
        <v>4742.88375</v>
      </c>
      <c r="P173">
        <f t="shared" si="131"/>
        <v>1498.7512650000001</v>
      </c>
    </row>
    <row r="174" spans="1:16" x14ac:dyDescent="0.2">
      <c r="A174" t="s">
        <v>290</v>
      </c>
      <c r="B174">
        <v>15</v>
      </c>
      <c r="C174">
        <v>19.7</v>
      </c>
      <c r="D174">
        <v>20.6</v>
      </c>
      <c r="E174">
        <v>17</v>
      </c>
      <c r="F174">
        <v>0.59</v>
      </c>
      <c r="G174">
        <v>0.49</v>
      </c>
      <c r="H174">
        <f t="shared" si="125"/>
        <v>0.54</v>
      </c>
      <c r="I174">
        <f t="shared" si="126"/>
        <v>153.62711864406782</v>
      </c>
      <c r="J174">
        <f t="shared" si="127"/>
        <v>152.65306122448982</v>
      </c>
      <c r="K174">
        <f t="shared" si="128"/>
        <v>18.8</v>
      </c>
      <c r="L174">
        <f t="shared" si="129"/>
        <v>17.350000000000001</v>
      </c>
      <c r="M174">
        <f t="shared" si="130"/>
        <v>103.05900000000001</v>
      </c>
    </row>
    <row r="178" spans="1:21" x14ac:dyDescent="0.2">
      <c r="A178">
        <v>1988</v>
      </c>
      <c r="B178" t="s">
        <v>321</v>
      </c>
      <c r="E178" t="s">
        <v>135</v>
      </c>
    </row>
    <row r="179" spans="1:21" x14ac:dyDescent="0.2">
      <c r="A179" t="s">
        <v>305</v>
      </c>
      <c r="B179">
        <v>44.5</v>
      </c>
      <c r="C179">
        <v>43.4</v>
      </c>
      <c r="D179">
        <v>38.9</v>
      </c>
      <c r="E179">
        <f>AVERAGE(B179:D179)</f>
        <v>42.266666666666673</v>
      </c>
    </row>
    <row r="180" spans="1:21" x14ac:dyDescent="0.2">
      <c r="A180" s="1" t="s">
        <v>306</v>
      </c>
      <c r="B180">
        <v>43.8</v>
      </c>
      <c r="C180">
        <v>41.8</v>
      </c>
      <c r="D180">
        <v>33.9</v>
      </c>
      <c r="E180">
        <f t="shared" ref="E180:E184" si="132">AVERAGE(B180:D180)</f>
        <v>39.833333333333336</v>
      </c>
    </row>
    <row r="181" spans="1:21" x14ac:dyDescent="0.2">
      <c r="A181" t="s">
        <v>307</v>
      </c>
      <c r="B181">
        <v>43.7</v>
      </c>
      <c r="C181">
        <v>38.700000000000003</v>
      </c>
      <c r="D181">
        <v>25.7</v>
      </c>
      <c r="E181">
        <f t="shared" si="132"/>
        <v>36.033333333333339</v>
      </c>
    </row>
    <row r="182" spans="1:21" x14ac:dyDescent="0.2">
      <c r="A182" s="8" t="s">
        <v>285</v>
      </c>
      <c r="B182">
        <v>38.700000000000003</v>
      </c>
      <c r="C182">
        <v>30.6</v>
      </c>
      <c r="D182">
        <v>16.600000000000001</v>
      </c>
      <c r="E182">
        <f t="shared" si="132"/>
        <v>28.633333333333336</v>
      </c>
    </row>
    <row r="183" spans="1:21" x14ac:dyDescent="0.2">
      <c r="A183" t="s">
        <v>277</v>
      </c>
      <c r="B183">
        <v>33</v>
      </c>
      <c r="C183">
        <v>22.9</v>
      </c>
      <c r="D183">
        <v>13.3</v>
      </c>
      <c r="E183">
        <f t="shared" si="132"/>
        <v>23.066666666666666</v>
      </c>
    </row>
    <row r="184" spans="1:21" x14ac:dyDescent="0.2">
      <c r="A184" t="s">
        <v>290</v>
      </c>
      <c r="B184">
        <v>25.5</v>
      </c>
      <c r="C184">
        <v>20.399999999999999</v>
      </c>
      <c r="D184">
        <v>14.1</v>
      </c>
      <c r="E184">
        <f t="shared" si="132"/>
        <v>20</v>
      </c>
    </row>
    <row r="187" spans="1:21" x14ac:dyDescent="0.2">
      <c r="A187" t="s">
        <v>345</v>
      </c>
      <c r="C187">
        <v>1976</v>
      </c>
      <c r="D187">
        <v>1988</v>
      </c>
      <c r="E187">
        <v>1993</v>
      </c>
      <c r="F187">
        <v>1997</v>
      </c>
      <c r="G187">
        <v>2002</v>
      </c>
      <c r="H187">
        <v>2009</v>
      </c>
      <c r="I187">
        <v>2014</v>
      </c>
      <c r="J187">
        <v>2018</v>
      </c>
      <c r="K187">
        <v>2018</v>
      </c>
    </row>
    <row r="188" spans="1:21" x14ac:dyDescent="0.2">
      <c r="B188" t="s">
        <v>95</v>
      </c>
      <c r="C188">
        <v>55.18</v>
      </c>
      <c r="D188">
        <v>42.98</v>
      </c>
      <c r="E188">
        <v>33</v>
      </c>
      <c r="F188">
        <v>44.908999999999999</v>
      </c>
      <c r="G188">
        <v>47.958371999999997</v>
      </c>
      <c r="H188">
        <v>30.887040800000005</v>
      </c>
      <c r="I188">
        <v>33.130000000000003</v>
      </c>
      <c r="J188">
        <f>R189*316</f>
        <v>35.472580000000008</v>
      </c>
      <c r="M188">
        <f>H188/1000</f>
        <v>3.0887040800000005E-2</v>
      </c>
      <c r="N188">
        <v>33130.624999999993</v>
      </c>
      <c r="O188" t="s">
        <v>346</v>
      </c>
      <c r="T188">
        <v>0.6801666666666667</v>
      </c>
      <c r="U188">
        <f>T188*2*31.6</f>
        <v>42.986533333333334</v>
      </c>
    </row>
    <row r="189" spans="1:21" x14ac:dyDescent="0.2">
      <c r="B189" t="s">
        <v>205</v>
      </c>
      <c r="C189">
        <v>161.19999999999999</v>
      </c>
      <c r="D189">
        <f>U188+U189</f>
        <v>140.30062933333335</v>
      </c>
      <c r="E189">
        <v>134.75739419999999</v>
      </c>
      <c r="F189">
        <f>F188+E189</f>
        <v>179.66639419999998</v>
      </c>
      <c r="G189">
        <v>175.753512</v>
      </c>
      <c r="H189">
        <v>111.11485880000001</v>
      </c>
      <c r="I189">
        <v>107.48</v>
      </c>
      <c r="J189">
        <f>316*(R189+R190)</f>
        <v>125.28372999999999</v>
      </c>
      <c r="M189">
        <f t="shared" ref="M189:M192" si="133">H189/1000</f>
        <v>0.11111485880000001</v>
      </c>
      <c r="N189">
        <v>107482.26499999998</v>
      </c>
      <c r="O189">
        <v>5.9400000000000001E-2</v>
      </c>
      <c r="P189">
        <v>5.2855000000000013E-2</v>
      </c>
      <c r="Q189">
        <f>AVERAGE(O189:P189)</f>
        <v>5.6127500000000011E-2</v>
      </c>
      <c r="R189">
        <f>Q189*2</f>
        <v>0.11225500000000002</v>
      </c>
      <c r="T189">
        <v>1.0265199999999999</v>
      </c>
      <c r="U189">
        <f>T189*3*31.6</f>
        <v>97.314096000000006</v>
      </c>
    </row>
    <row r="190" spans="1:21" x14ac:dyDescent="0.2">
      <c r="B190" t="s">
        <v>104</v>
      </c>
      <c r="C190">
        <v>307</v>
      </c>
      <c r="D190">
        <v>338</v>
      </c>
      <c r="E190">
        <v>279.59058270000003</v>
      </c>
      <c r="F190">
        <f>E190+F189</f>
        <v>459.25697690000004</v>
      </c>
      <c r="G190">
        <v>350.42251199999993</v>
      </c>
      <c r="H190">
        <v>275.79470380000009</v>
      </c>
      <c r="I190">
        <v>275.02499999999998</v>
      </c>
      <c r="J190">
        <f>316*(R189+R190+R191)</f>
        <v>334.84308000000004</v>
      </c>
      <c r="M190">
        <f t="shared" si="133"/>
        <v>0.2757947038000001</v>
      </c>
      <c r="N190">
        <v>275025.46500000003</v>
      </c>
      <c r="O190">
        <v>8.8000000000000009E-2</v>
      </c>
      <c r="P190">
        <v>0.101475</v>
      </c>
      <c r="Q190">
        <f t="shared" ref="Q190:Q194" si="134">AVERAGE(O190:P190)</f>
        <v>9.4737500000000002E-2</v>
      </c>
      <c r="R190">
        <f>Q190*3</f>
        <v>0.28421249999999998</v>
      </c>
      <c r="T190">
        <v>1.2513233333333336</v>
      </c>
      <c r="U190">
        <f>T190*5*31.6</f>
        <v>197.70908666666671</v>
      </c>
    </row>
    <row r="191" spans="1:21" x14ac:dyDescent="0.2">
      <c r="B191" t="s">
        <v>342</v>
      </c>
      <c r="C191">
        <f>C190+224.3</f>
        <v>531.29999999999995</v>
      </c>
      <c r="D191">
        <f>D190+Q208</f>
        <v>730.02328000000011</v>
      </c>
      <c r="E191">
        <v>651.60948270000006</v>
      </c>
      <c r="F191">
        <f>E191+F190</f>
        <v>1110.8664596000001</v>
      </c>
      <c r="G191">
        <v>748.57398000000001</v>
      </c>
      <c r="H191">
        <v>609.07358379999994</v>
      </c>
      <c r="I191">
        <v>598.65</v>
      </c>
      <c r="J191">
        <f>316*R192+J190</f>
        <v>780.69222000000013</v>
      </c>
      <c r="M191">
        <f t="shared" si="133"/>
        <v>0.60907358379999998</v>
      </c>
      <c r="N191">
        <v>598649.75500000012</v>
      </c>
      <c r="O191">
        <v>0.14371500000000004</v>
      </c>
      <c r="P191">
        <v>0.12155000000000001</v>
      </c>
      <c r="Q191">
        <f t="shared" si="134"/>
        <v>0.13263250000000001</v>
      </c>
      <c r="R191">
        <f>Q191*5</f>
        <v>0.6631625000000001</v>
      </c>
      <c r="U191">
        <f>SUM(U188:U190)</f>
        <v>338.00971600000003</v>
      </c>
    </row>
    <row r="192" spans="1:21" x14ac:dyDescent="0.2">
      <c r="B192" t="s">
        <v>301</v>
      </c>
      <c r="D192">
        <f>D191+Q209</f>
        <v>1516.340826666667</v>
      </c>
      <c r="E192">
        <v>1608.2863687000004</v>
      </c>
      <c r="F192">
        <f>F191+E192+E193</f>
        <v>2719.1528283000007</v>
      </c>
      <c r="G192">
        <v>1498.7512650000001</v>
      </c>
      <c r="H192">
        <v>1205.5430178000001</v>
      </c>
      <c r="I192">
        <v>1288.5</v>
      </c>
      <c r="J192">
        <f>J191+316*(R193+R194)</f>
        <v>1715.6493200000002</v>
      </c>
      <c r="M192">
        <f t="shared" si="133"/>
        <v>1.2055430178000002</v>
      </c>
      <c r="N192">
        <v>1288461.9550000001</v>
      </c>
      <c r="O192">
        <v>0.141515</v>
      </c>
      <c r="P192">
        <v>0.14066800000000002</v>
      </c>
      <c r="Q192">
        <f t="shared" si="134"/>
        <v>0.14109150000000001</v>
      </c>
      <c r="R192">
        <f>Q192*10</f>
        <v>1.4109150000000001</v>
      </c>
    </row>
    <row r="193" spans="3:18" x14ac:dyDescent="0.2">
      <c r="O193">
        <v>0.15840000000000001</v>
      </c>
      <c r="P193">
        <v>0.17634100000000003</v>
      </c>
      <c r="Q193">
        <f t="shared" si="134"/>
        <v>0.16737050000000003</v>
      </c>
      <c r="R193">
        <f>Q193*10</f>
        <v>1.6737050000000004</v>
      </c>
    </row>
    <row r="194" spans="3:18" x14ac:dyDescent="0.2">
      <c r="O194">
        <v>0.13745599999999999</v>
      </c>
      <c r="P194">
        <v>0.11954800000000002</v>
      </c>
      <c r="Q194">
        <f t="shared" si="134"/>
        <v>0.12850200000000001</v>
      </c>
      <c r="R194">
        <f>Q194*10</f>
        <v>1.2850200000000001</v>
      </c>
    </row>
    <row r="195" spans="3:18" x14ac:dyDescent="0.2">
      <c r="C195">
        <v>55.18</v>
      </c>
    </row>
    <row r="196" spans="3:18" x14ac:dyDescent="0.2">
      <c r="N196">
        <v>6</v>
      </c>
      <c r="O196">
        <v>2</v>
      </c>
      <c r="P196">
        <v>0.13200000000000001</v>
      </c>
      <c r="Q196">
        <f>P196*100*31.6</f>
        <v>417.12000000000006</v>
      </c>
    </row>
    <row r="197" spans="3:18" x14ac:dyDescent="0.2">
      <c r="C197">
        <v>105.986</v>
      </c>
      <c r="E197" t="s">
        <v>172</v>
      </c>
      <c r="F197">
        <v>105.986</v>
      </c>
      <c r="N197">
        <v>7.9</v>
      </c>
      <c r="O197">
        <v>1.49</v>
      </c>
      <c r="P197">
        <f>1.1*N197*O197/100</f>
        <v>0.12948100000000001</v>
      </c>
      <c r="Q197">
        <f t="shared" ref="Q197:Q206" si="135">P197*100*31.6</f>
        <v>409.15996000000007</v>
      </c>
    </row>
    <row r="198" spans="3:18" x14ac:dyDescent="0.2">
      <c r="C198">
        <v>161.166</v>
      </c>
      <c r="E198" t="s">
        <v>205</v>
      </c>
      <c r="F198">
        <v>161.166</v>
      </c>
      <c r="N198">
        <v>17</v>
      </c>
      <c r="O198">
        <v>0.76</v>
      </c>
      <c r="P198">
        <f>1.1*N198*O198/100</f>
        <v>0.14212000000000002</v>
      </c>
      <c r="Q198">
        <f t="shared" si="135"/>
        <v>449.09920000000011</v>
      </c>
      <c r="R198">
        <f>Q197+Q198</f>
        <v>858.25916000000018</v>
      </c>
    </row>
    <row r="199" spans="3:18" x14ac:dyDescent="0.2">
      <c r="C199">
        <v>145.35399999999998</v>
      </c>
      <c r="E199" t="s">
        <v>173</v>
      </c>
      <c r="F199">
        <v>145.35399999999998</v>
      </c>
    </row>
    <row r="200" spans="3:18" x14ac:dyDescent="0.2">
      <c r="N200">
        <v>7.6</v>
      </c>
      <c r="O200">
        <v>1.52</v>
      </c>
      <c r="P200">
        <f>0.011*N200*O200</f>
        <v>0.12707199999999999</v>
      </c>
      <c r="Q200">
        <f t="shared" si="135"/>
        <v>401.54751999999996</v>
      </c>
    </row>
    <row r="201" spans="3:18" x14ac:dyDescent="0.2">
      <c r="E201" t="s">
        <v>104</v>
      </c>
      <c r="F201">
        <v>306.52</v>
      </c>
      <c r="N201">
        <v>10.9</v>
      </c>
      <c r="O201">
        <v>0.93</v>
      </c>
      <c r="P201">
        <f t="shared" ref="P201:P206" si="136">0.011*N201*O201</f>
        <v>0.111507</v>
      </c>
      <c r="Q201">
        <f t="shared" si="135"/>
        <v>352.36211999999995</v>
      </c>
    </row>
    <row r="202" spans="3:18" x14ac:dyDescent="0.2">
      <c r="N202">
        <v>24.6</v>
      </c>
      <c r="O202">
        <v>0.52</v>
      </c>
      <c r="P202">
        <f t="shared" si="136"/>
        <v>0.140712</v>
      </c>
      <c r="Q202">
        <f t="shared" si="135"/>
        <v>444.64992000000007</v>
      </c>
      <c r="R202">
        <f>Q201+Q202</f>
        <v>797.01204000000007</v>
      </c>
    </row>
    <row r="204" spans="3:18" x14ac:dyDescent="0.2">
      <c r="N204">
        <v>10.6</v>
      </c>
      <c r="O204">
        <v>0.97</v>
      </c>
      <c r="P204">
        <f t="shared" si="136"/>
        <v>0.11310199999999999</v>
      </c>
      <c r="Q204">
        <f t="shared" si="135"/>
        <v>357.40232000000003</v>
      </c>
    </row>
    <row r="205" spans="3:18" x14ac:dyDescent="0.2">
      <c r="N205">
        <v>13.8</v>
      </c>
      <c r="O205">
        <v>0.63</v>
      </c>
      <c r="P205">
        <f t="shared" si="136"/>
        <v>9.5633999999999997E-2</v>
      </c>
      <c r="Q205">
        <f t="shared" si="135"/>
        <v>302.20344</v>
      </c>
    </row>
    <row r="206" spans="3:18" x14ac:dyDescent="0.2">
      <c r="N206">
        <v>27.5</v>
      </c>
      <c r="O206">
        <v>0.42</v>
      </c>
      <c r="P206">
        <f t="shared" si="136"/>
        <v>0.12705</v>
      </c>
      <c r="Q206">
        <f t="shared" si="135"/>
        <v>401.47800000000001</v>
      </c>
      <c r="R206">
        <f>Q205+Q206</f>
        <v>703.68144000000007</v>
      </c>
    </row>
    <row r="208" spans="3:18" x14ac:dyDescent="0.2">
      <c r="P208" s="8" t="s">
        <v>285</v>
      </c>
      <c r="Q208">
        <f>(Q196+Q200+Q204)/3</f>
        <v>392.02328000000006</v>
      </c>
    </row>
    <row r="209" spans="1:17" x14ac:dyDescent="0.2">
      <c r="P209" t="s">
        <v>349</v>
      </c>
      <c r="Q209">
        <f>(R198+R202+R206)/3</f>
        <v>786.31754666666677</v>
      </c>
    </row>
    <row r="211" spans="1:17" x14ac:dyDescent="0.2">
      <c r="A211">
        <v>8.61</v>
      </c>
      <c r="D211">
        <v>4.5</v>
      </c>
      <c r="E211">
        <v>1.1100000000000001</v>
      </c>
      <c r="F211">
        <f>0.011*D211*E211</f>
        <v>5.4945000000000001E-2</v>
      </c>
      <c r="G211">
        <v>9.6</v>
      </c>
      <c r="H211">
        <v>0.42</v>
      </c>
      <c r="I211">
        <f>0.011*G211*H211</f>
        <v>4.4351999999999996E-2</v>
      </c>
      <c r="J211">
        <v>14.36</v>
      </c>
      <c r="K211">
        <v>0.65</v>
      </c>
      <c r="L211">
        <f>0.011*J211*K211</f>
        <v>0.102674</v>
      </c>
    </row>
    <row r="212" spans="1:17" x14ac:dyDescent="0.2">
      <c r="A212">
        <v>9.43</v>
      </c>
      <c r="D212">
        <v>4.76</v>
      </c>
      <c r="E212">
        <v>0.71</v>
      </c>
      <c r="F212">
        <f t="shared" ref="F212:F216" si="137">0.011*D212*E212</f>
        <v>3.7175599999999996E-2</v>
      </c>
      <c r="G212">
        <v>10.9</v>
      </c>
      <c r="H212">
        <v>0.4</v>
      </c>
      <c r="I212">
        <f t="shared" ref="I212:I216" si="138">0.011*G212*H212</f>
        <v>4.7960000000000003E-2</v>
      </c>
      <c r="J212">
        <v>14.36</v>
      </c>
      <c r="K212">
        <v>0.65</v>
      </c>
      <c r="L212">
        <f t="shared" ref="L212:L216" si="139">0.011*J212*K212</f>
        <v>0.102674</v>
      </c>
    </row>
    <row r="213" spans="1:17" x14ac:dyDescent="0.2">
      <c r="A213">
        <v>10.1</v>
      </c>
      <c r="D213">
        <v>5.83</v>
      </c>
      <c r="E213">
        <v>0.76</v>
      </c>
      <c r="F213">
        <f t="shared" si="137"/>
        <v>4.8738799999999992E-2</v>
      </c>
      <c r="G213">
        <v>10.5</v>
      </c>
      <c r="H213">
        <v>0.44</v>
      </c>
      <c r="I213">
        <f t="shared" si="138"/>
        <v>5.0819999999999997E-2</v>
      </c>
      <c r="J213">
        <v>17.809999999999999</v>
      </c>
      <c r="K213">
        <v>0.65</v>
      </c>
      <c r="L213">
        <f t="shared" si="139"/>
        <v>0.1273415</v>
      </c>
    </row>
    <row r="214" spans="1:17" x14ac:dyDescent="0.2">
      <c r="A214">
        <v>10.119999999999999</v>
      </c>
      <c r="D214">
        <v>7.96</v>
      </c>
      <c r="E214">
        <v>0.7</v>
      </c>
      <c r="F214">
        <f t="shared" si="137"/>
        <v>6.1291999999999992E-2</v>
      </c>
      <c r="G214">
        <v>11.65</v>
      </c>
      <c r="H214">
        <v>0.42</v>
      </c>
      <c r="I214">
        <f t="shared" si="138"/>
        <v>5.3822999999999989E-2</v>
      </c>
      <c r="J214">
        <v>12.47</v>
      </c>
      <c r="K214">
        <v>0.66</v>
      </c>
      <c r="L214">
        <f t="shared" si="139"/>
        <v>9.0532199999999993E-2</v>
      </c>
    </row>
    <row r="215" spans="1:17" x14ac:dyDescent="0.2">
      <c r="A215">
        <v>10.53</v>
      </c>
      <c r="D215">
        <v>8.24</v>
      </c>
      <c r="E215">
        <v>0.69</v>
      </c>
      <c r="F215">
        <f t="shared" si="137"/>
        <v>6.2541599999999989E-2</v>
      </c>
      <c r="G215">
        <v>11.3</v>
      </c>
      <c r="H215">
        <v>0.47</v>
      </c>
      <c r="I215">
        <f t="shared" si="138"/>
        <v>5.8420999999999994E-2</v>
      </c>
      <c r="J215">
        <v>12.47</v>
      </c>
      <c r="K215">
        <v>0.66</v>
      </c>
      <c r="L215">
        <f t="shared" si="139"/>
        <v>9.0532199999999993E-2</v>
      </c>
    </row>
    <row r="216" spans="1:17" x14ac:dyDescent="0.2">
      <c r="D216">
        <v>9.27</v>
      </c>
      <c r="E216">
        <v>0.69</v>
      </c>
      <c r="F216">
        <f t="shared" si="137"/>
        <v>7.0359299999999986E-2</v>
      </c>
      <c r="G216">
        <v>10.67</v>
      </c>
      <c r="H216">
        <v>0.67</v>
      </c>
      <c r="I216">
        <f t="shared" si="138"/>
        <v>7.8637899999999997E-2</v>
      </c>
      <c r="J216">
        <v>13.07</v>
      </c>
      <c r="K216">
        <v>0.66</v>
      </c>
      <c r="L216">
        <f t="shared" si="139"/>
        <v>9.4888199999999992E-2</v>
      </c>
    </row>
    <row r="217" spans="1:17" x14ac:dyDescent="0.2">
      <c r="F217">
        <f>AVERAGE(F211:F216)</f>
        <v>5.5842049999999997E-2</v>
      </c>
      <c r="G217">
        <f t="shared" ref="G217:L217" si="140">AVERAGE(G211:G216)</f>
        <v>10.770000000000001</v>
      </c>
      <c r="H217">
        <f t="shared" si="140"/>
        <v>0.47</v>
      </c>
      <c r="I217">
        <f t="shared" si="140"/>
        <v>5.5668983333333331E-2</v>
      </c>
      <c r="J217">
        <f t="shared" si="140"/>
        <v>14.089999999999998</v>
      </c>
      <c r="K217">
        <f t="shared" si="140"/>
        <v>0.65500000000000014</v>
      </c>
      <c r="L217">
        <f t="shared" si="140"/>
        <v>0.10144035</v>
      </c>
    </row>
    <row r="219" spans="1:17" x14ac:dyDescent="0.2">
      <c r="G219">
        <f>(F217+I217+L217)/3</f>
        <v>7.0983794444444442E-2</v>
      </c>
      <c r="H219" t="s">
        <v>350</v>
      </c>
      <c r="I219">
        <f>G219*10*316</f>
        <v>224.30879044444447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79"/>
  <sheetViews>
    <sheetView workbookViewId="0">
      <selection activeCell="A200" sqref="A200"/>
    </sheetView>
  </sheetViews>
  <sheetFormatPr baseColWidth="10" defaultColWidth="8.83203125" defaultRowHeight="15" x14ac:dyDescent="0.2"/>
  <cols>
    <col min="1" max="1" width="9.83203125" bestFit="1" customWidth="1"/>
  </cols>
  <sheetData>
    <row r="1" spans="1:9" x14ac:dyDescent="0.2">
      <c r="A1" s="2" t="s">
        <v>261</v>
      </c>
      <c r="B1" s="2">
        <v>1976</v>
      </c>
      <c r="C1" s="2">
        <v>1988</v>
      </c>
      <c r="D1" s="2">
        <v>2002</v>
      </c>
      <c r="E1" s="2">
        <v>2009</v>
      </c>
      <c r="F1" s="2">
        <v>2014</v>
      </c>
      <c r="G1" s="2">
        <v>2018</v>
      </c>
    </row>
    <row r="2" spans="1:9" x14ac:dyDescent="0.2">
      <c r="A2" s="2"/>
      <c r="B2" s="2"/>
      <c r="C2" s="2" t="s">
        <v>196</v>
      </c>
      <c r="D2" s="2"/>
      <c r="E2" s="2"/>
      <c r="F2" s="2"/>
      <c r="G2" s="2"/>
    </row>
    <row r="3" spans="1:9" x14ac:dyDescent="0.2">
      <c r="A3" s="2" t="s">
        <v>95</v>
      </c>
      <c r="B3" s="2">
        <v>10276.320000000002</v>
      </c>
      <c r="C3" s="2">
        <v>9402.264000000001</v>
      </c>
      <c r="D3" s="2">
        <v>10505.391208888888</v>
      </c>
      <c r="E3" s="2">
        <v>7492.6493155555563</v>
      </c>
      <c r="F3" s="2">
        <v>7883.9156000000021</v>
      </c>
      <c r="G3" s="2">
        <v>7675.0079999999998</v>
      </c>
    </row>
    <row r="4" spans="1:9" x14ac:dyDescent="0.2">
      <c r="A4" s="2" t="s">
        <v>172</v>
      </c>
      <c r="B4" s="2">
        <v>17703.900000000001</v>
      </c>
      <c r="C4" s="2">
        <v>20761.199999999997</v>
      </c>
      <c r="D4" s="2">
        <v>27534.438799999996</v>
      </c>
      <c r="E4" s="2">
        <v>18159.22650666667</v>
      </c>
      <c r="F4" s="2">
        <v>16073.023999999996</v>
      </c>
      <c r="G4" s="2">
        <v>17825.507333333331</v>
      </c>
    </row>
    <row r="5" spans="1:9" x14ac:dyDescent="0.2">
      <c r="A5" s="2" t="s">
        <v>173</v>
      </c>
      <c r="B5" s="2">
        <f>B6-(B3+B4)</f>
        <v>33450.18</v>
      </c>
      <c r="C5" s="2">
        <v>43420.647111111124</v>
      </c>
      <c r="D5" s="2">
        <v>48955.984000000011</v>
      </c>
      <c r="E5" s="2">
        <v>36896.504088888891</v>
      </c>
      <c r="F5" s="2">
        <v>30420.793333333331</v>
      </c>
      <c r="G5" s="2">
        <v>37160.950444444446</v>
      </c>
    </row>
    <row r="6" spans="1:9" x14ac:dyDescent="0.2">
      <c r="A6" s="2" t="s">
        <v>104</v>
      </c>
      <c r="B6" s="2">
        <v>61430.400000000001</v>
      </c>
      <c r="C6" s="2">
        <v>73584.111111111124</v>
      </c>
      <c r="D6" s="2">
        <v>86995.814008888905</v>
      </c>
      <c r="E6" s="2">
        <v>62548.379911111115</v>
      </c>
      <c r="F6" s="2">
        <v>54377.732933333333</v>
      </c>
      <c r="G6" s="2">
        <v>62661.465777777776</v>
      </c>
    </row>
    <row r="7" spans="1:9" x14ac:dyDescent="0.2">
      <c r="A7" s="2"/>
      <c r="B7" s="2"/>
      <c r="C7" s="2"/>
      <c r="D7" s="2"/>
      <c r="E7" s="2"/>
      <c r="F7" s="2"/>
      <c r="G7" s="2"/>
    </row>
    <row r="8" spans="1:9" x14ac:dyDescent="0.2">
      <c r="A8" s="2"/>
      <c r="B8" s="2"/>
      <c r="C8" s="2" t="s">
        <v>198</v>
      </c>
      <c r="D8" s="2"/>
      <c r="E8" s="2"/>
      <c r="F8" s="2"/>
      <c r="G8" s="2"/>
    </row>
    <row r="9" spans="1:9" x14ac:dyDescent="0.2">
      <c r="A9" s="2" t="s">
        <v>95</v>
      </c>
      <c r="B9" s="2">
        <f>B21*8.8</f>
        <v>0</v>
      </c>
      <c r="C9" s="2">
        <v>412.14441296444375</v>
      </c>
      <c r="D9" s="2">
        <v>486.65158065672091</v>
      </c>
      <c r="E9" s="2">
        <v>347.08937156346644</v>
      </c>
      <c r="F9" s="2">
        <v>365.21438490151905</v>
      </c>
      <c r="G9" s="2">
        <v>355.53695245472147</v>
      </c>
    </row>
    <row r="10" spans="1:9" x14ac:dyDescent="0.2">
      <c r="A10" s="2" t="s">
        <v>172</v>
      </c>
      <c r="B10" s="2">
        <f>B23*11.63</f>
        <v>0</v>
      </c>
      <c r="C10" s="2">
        <v>947.31415167698356</v>
      </c>
      <c r="D10" s="2">
        <v>1275.4524223138571</v>
      </c>
      <c r="E10" s="2">
        <v>841.17310701367956</v>
      </c>
      <c r="F10" s="2">
        <v>744.53587173560834</v>
      </c>
      <c r="G10" s="2">
        <v>825.71454142996458</v>
      </c>
    </row>
    <row r="11" spans="1:9" x14ac:dyDescent="0.2">
      <c r="A11" s="2" t="s">
        <v>173</v>
      </c>
      <c r="B11" s="2">
        <v>2129.4360000000001</v>
      </c>
      <c r="C11" s="2">
        <v>2024.7282910093249</v>
      </c>
      <c r="D11" s="2">
        <v>2428.9430074162615</v>
      </c>
      <c r="E11" s="2">
        <v>1830.6139164685596</v>
      </c>
      <c r="F11" s="2">
        <v>1509.3226038936361</v>
      </c>
      <c r="G11" s="2">
        <v>1843.7343784362608</v>
      </c>
    </row>
    <row r="12" spans="1:9" x14ac:dyDescent="0.2">
      <c r="A12" s="2" t="s">
        <v>104</v>
      </c>
      <c r="B12" s="2">
        <f>SUM(B9:B11)</f>
        <v>2129.4360000000001</v>
      </c>
      <c r="C12" s="2">
        <v>3384.1868556507525</v>
      </c>
      <c r="D12" s="2">
        <v>4191.0470103868392</v>
      </c>
      <c r="E12" s="2">
        <v>3018.8763950457055</v>
      </c>
      <c r="F12" s="2">
        <v>2619.0728605307636</v>
      </c>
      <c r="G12" s="2">
        <v>3024.9858723209472</v>
      </c>
    </row>
    <row r="13" spans="1:9" x14ac:dyDescent="0.2">
      <c r="A13" s="2"/>
      <c r="B13" s="2"/>
      <c r="C13" s="2"/>
      <c r="D13" s="2"/>
      <c r="E13" s="2"/>
      <c r="F13" s="2"/>
      <c r="G13" s="2"/>
    </row>
    <row r="14" spans="1:9" x14ac:dyDescent="0.2">
      <c r="A14" s="2"/>
      <c r="B14" s="2"/>
      <c r="C14" s="2" t="s">
        <v>199</v>
      </c>
      <c r="D14" s="2"/>
      <c r="E14" s="2"/>
      <c r="F14" s="2"/>
      <c r="G14" s="2"/>
      <c r="I14" t="s">
        <v>110</v>
      </c>
    </row>
    <row r="15" spans="1:9" x14ac:dyDescent="0.2">
      <c r="A15" s="2" t="s">
        <v>95</v>
      </c>
      <c r="B15" s="2">
        <f>0.44*B3</f>
        <v>4521.5808000000006</v>
      </c>
      <c r="C15" s="2">
        <v>4136.9961600000006</v>
      </c>
      <c r="D15" s="2">
        <v>4622.372131911111</v>
      </c>
      <c r="E15" s="2">
        <v>3296.7656988444446</v>
      </c>
      <c r="F15" s="2">
        <v>3468.922864000001</v>
      </c>
      <c r="G15" s="2">
        <v>3377.0035199999998</v>
      </c>
      <c r="I15" t="e">
        <f>B15/B21</f>
        <v>#DIV/0!</v>
      </c>
    </row>
    <row r="16" spans="1:9" x14ac:dyDescent="0.2">
      <c r="A16" s="2" t="s">
        <v>172</v>
      </c>
      <c r="B16" s="2">
        <f t="shared" ref="B16:B18" si="0">0.44*B4</f>
        <v>7789.7160000000003</v>
      </c>
      <c r="C16" s="2">
        <v>9134.9279999999981</v>
      </c>
      <c r="D16" s="2">
        <v>12115.153071999999</v>
      </c>
      <c r="E16" s="2">
        <v>7990.0596629333349</v>
      </c>
      <c r="F16" s="2">
        <v>7072.1305599999978</v>
      </c>
      <c r="G16" s="2">
        <v>7843.2232266666661</v>
      </c>
      <c r="I16" t="e">
        <f>B16/B23</f>
        <v>#DIV/0!</v>
      </c>
    </row>
    <row r="17" spans="1:9" x14ac:dyDescent="0.2">
      <c r="A17" s="2" t="s">
        <v>173</v>
      </c>
      <c r="B17" s="2">
        <f t="shared" si="0"/>
        <v>14718.0792</v>
      </c>
      <c r="C17" s="2">
        <v>19105.084728888894</v>
      </c>
      <c r="D17" s="2">
        <v>21540.632960000006</v>
      </c>
      <c r="E17" s="2">
        <v>16234.461799111112</v>
      </c>
      <c r="F17" s="2">
        <v>13385.149066666665</v>
      </c>
      <c r="G17" s="2">
        <v>16350.818195555557</v>
      </c>
      <c r="I17">
        <f>B17/B25</f>
        <v>91.322482409441193</v>
      </c>
    </row>
    <row r="18" spans="1:9" x14ac:dyDescent="0.2">
      <c r="A18" s="2" t="s">
        <v>104</v>
      </c>
      <c r="B18" s="2">
        <f t="shared" si="0"/>
        <v>27029.376</v>
      </c>
      <c r="C18" s="2">
        <v>32377.008888888893</v>
      </c>
      <c r="D18" s="2">
        <v>38278.158163911117</v>
      </c>
      <c r="E18" s="2">
        <v>27521.287160888889</v>
      </c>
      <c r="F18" s="2">
        <v>23926.202490666667</v>
      </c>
      <c r="G18" s="2">
        <v>27571.044942222223</v>
      </c>
    </row>
    <row r="19" spans="1:9" x14ac:dyDescent="0.2">
      <c r="A19" s="2"/>
      <c r="B19" s="2"/>
      <c r="C19" s="2"/>
      <c r="D19" s="2"/>
      <c r="E19" s="2"/>
      <c r="F19" s="2"/>
      <c r="G19" s="2"/>
    </row>
    <row r="20" spans="1:9" x14ac:dyDescent="0.2">
      <c r="A20" s="2" t="s">
        <v>261</v>
      </c>
      <c r="B20" s="2">
        <v>1976</v>
      </c>
      <c r="C20" s="2">
        <v>1988</v>
      </c>
      <c r="D20" s="2">
        <v>2002</v>
      </c>
      <c r="E20" s="2">
        <v>2009</v>
      </c>
      <c r="F20" s="2">
        <v>2014</v>
      </c>
      <c r="G20" s="2">
        <v>2018</v>
      </c>
    </row>
    <row r="21" spans="1:9" x14ac:dyDescent="0.2">
      <c r="A21" s="2"/>
      <c r="B21" s="2"/>
      <c r="C21" s="2" t="s">
        <v>200</v>
      </c>
      <c r="D21" s="2"/>
      <c r="E21" s="2"/>
      <c r="F21" s="2"/>
      <c r="G21" s="2"/>
    </row>
    <row r="22" spans="1:9" x14ac:dyDescent="0.2">
      <c r="A22" s="2" t="s">
        <v>95</v>
      </c>
      <c r="B22" s="2">
        <v>55.18</v>
      </c>
      <c r="C22" s="2">
        <v>55.245226666666667</v>
      </c>
      <c r="D22" s="2">
        <v>47.330606399999994</v>
      </c>
      <c r="E22" s="2">
        <v>35.676420266666661</v>
      </c>
      <c r="F22" s="2">
        <v>39.298204000000013</v>
      </c>
      <c r="G22" s="2">
        <v>40.992746666666669</v>
      </c>
    </row>
    <row r="23" spans="1:9" x14ac:dyDescent="0.2">
      <c r="A23" s="2" t="s">
        <v>191</v>
      </c>
      <c r="B23" s="2"/>
      <c r="C23" s="2"/>
      <c r="D23" s="2"/>
      <c r="E23" s="2"/>
      <c r="F23" s="2"/>
      <c r="G23" s="2"/>
    </row>
    <row r="24" spans="1:9" x14ac:dyDescent="0.2">
      <c r="A24" s="2" t="s">
        <v>172</v>
      </c>
      <c r="B24" s="2">
        <v>105.986</v>
      </c>
      <c r="C24" s="2">
        <v>121.83380000000001</v>
      </c>
      <c r="D24" s="2">
        <v>113.71154666666666</v>
      </c>
      <c r="E24" s="2">
        <v>79.713949333333332</v>
      </c>
      <c r="F24" s="2">
        <v>74.061973333333341</v>
      </c>
      <c r="G24" s="2">
        <v>95.763800000000003</v>
      </c>
    </row>
    <row r="25" spans="1:9" x14ac:dyDescent="0.2">
      <c r="A25" s="2" t="s">
        <v>205</v>
      </c>
      <c r="B25" s="2">
        <f>SUM(B22:B24)</f>
        <v>161.166</v>
      </c>
      <c r="C25" s="2">
        <f t="shared" ref="C25:G25" si="1">SUM(C22:C24)</f>
        <v>177.07902666666666</v>
      </c>
      <c r="D25" s="2">
        <f t="shared" si="1"/>
        <v>161.04215306666666</v>
      </c>
      <c r="E25" s="2">
        <f t="shared" si="1"/>
        <v>115.39036959999999</v>
      </c>
      <c r="F25" s="2">
        <f t="shared" si="1"/>
        <v>113.36017733333335</v>
      </c>
      <c r="G25" s="2">
        <f t="shared" si="1"/>
        <v>136.75654666666668</v>
      </c>
      <c r="I25">
        <f>B25*(12.3+16.2+15.45)/3</f>
        <v>2361.0819000000001</v>
      </c>
    </row>
    <row r="26" spans="1:9" x14ac:dyDescent="0.2">
      <c r="A26" s="2" t="s">
        <v>173</v>
      </c>
      <c r="B26" s="2">
        <f>B28-(B22+B24)</f>
        <v>145.35399999999998</v>
      </c>
      <c r="C26" s="2">
        <v>232.96924444444454</v>
      </c>
      <c r="D26" s="2">
        <v>192.32708000000008</v>
      </c>
      <c r="E26" s="2">
        <v>162.67177911111114</v>
      </c>
      <c r="F26" s="2">
        <v>164.06720000000001</v>
      </c>
      <c r="G26" s="2">
        <v>215.20302222222227</v>
      </c>
    </row>
    <row r="27" spans="1:9" x14ac:dyDescent="0.2">
      <c r="A27" s="2"/>
      <c r="B27" s="2"/>
      <c r="C27" s="2"/>
      <c r="D27" s="2"/>
      <c r="E27" s="2"/>
      <c r="F27" s="2"/>
      <c r="G27" s="2"/>
    </row>
    <row r="28" spans="1:9" x14ac:dyDescent="0.2">
      <c r="A28" s="2" t="s">
        <v>104</v>
      </c>
      <c r="B28" s="2">
        <v>306.52</v>
      </c>
      <c r="C28" s="2">
        <v>410.04827111111121</v>
      </c>
      <c r="D28" s="2">
        <v>353.36923306666677</v>
      </c>
      <c r="E28" s="2">
        <v>278.06214871111115</v>
      </c>
      <c r="F28" s="2">
        <v>277.42737733333337</v>
      </c>
      <c r="G28" s="2">
        <v>351.95956888888895</v>
      </c>
    </row>
    <row r="29" spans="1:9" x14ac:dyDescent="0.2">
      <c r="A29" s="2"/>
      <c r="B29" s="2"/>
      <c r="C29" s="2"/>
      <c r="D29" s="2"/>
      <c r="E29" s="2"/>
      <c r="F29" s="2"/>
      <c r="G29" s="2"/>
    </row>
    <row r="30" spans="1:9" x14ac:dyDescent="0.2">
      <c r="A30" s="2" t="s">
        <v>201</v>
      </c>
      <c r="B30" s="2">
        <f>B28*0.75</f>
        <v>229.89</v>
      </c>
      <c r="C30" s="2">
        <f>0.75*C28</f>
        <v>307.53620333333339</v>
      </c>
      <c r="D30" s="2">
        <f t="shared" ref="D30:G30" si="2">0.75*D28</f>
        <v>265.02692480000007</v>
      </c>
      <c r="E30" s="2">
        <f t="shared" si="2"/>
        <v>208.54661153333336</v>
      </c>
      <c r="F30" s="2">
        <f t="shared" si="2"/>
        <v>208.07053300000001</v>
      </c>
      <c r="G30" s="2">
        <f t="shared" si="2"/>
        <v>263.96967666666671</v>
      </c>
    </row>
    <row r="31" spans="1:9" x14ac:dyDescent="0.2">
      <c r="A31" s="2" t="s">
        <v>202</v>
      </c>
      <c r="B31" s="2"/>
      <c r="C31" s="2"/>
      <c r="D31" s="2"/>
      <c r="E31" s="2"/>
      <c r="F31" s="2"/>
      <c r="G31" s="2"/>
    </row>
    <row r="32" spans="1:9" x14ac:dyDescent="0.2">
      <c r="A32" s="2" t="s">
        <v>203</v>
      </c>
      <c r="B32" s="2" t="s">
        <v>259</v>
      </c>
      <c r="C32" s="2">
        <f>(C28-B28)/12</f>
        <v>8.6273559259259347</v>
      </c>
      <c r="D32" s="2">
        <f>(D30-C30)/14</f>
        <v>-3.0363770380952366</v>
      </c>
      <c r="E32" s="2">
        <f>(E30-D30)/7</f>
        <v>-8.0686161809523878</v>
      </c>
      <c r="F32" s="2">
        <f>(F30-E30)/5</f>
        <v>-9.5215706666670036E-2</v>
      </c>
      <c r="G32" s="2">
        <f>(G30-F30)/4</f>
        <v>13.974785916666676</v>
      </c>
    </row>
    <row r="33" spans="1:31" x14ac:dyDescent="0.2">
      <c r="A33" s="2" t="s">
        <v>204</v>
      </c>
      <c r="B33" s="2"/>
      <c r="C33" s="2"/>
      <c r="D33" s="2"/>
      <c r="E33" s="2"/>
      <c r="F33" s="2"/>
      <c r="G33" s="2"/>
    </row>
    <row r="34" spans="1:31" x14ac:dyDescent="0.2">
      <c r="A34" s="2" t="s">
        <v>260</v>
      </c>
      <c r="B34" s="2" t="s">
        <v>205</v>
      </c>
      <c r="C34" s="2">
        <f>(C28-B28)/12</f>
        <v>8.6273559259259347</v>
      </c>
      <c r="D34" s="2">
        <v>-0.85</v>
      </c>
      <c r="E34" s="2">
        <v>-4.8899999999999997</v>
      </c>
      <c r="F34" s="2">
        <v>0.30399999999999999</v>
      </c>
      <c r="G34" s="2">
        <v>4.34</v>
      </c>
    </row>
    <row r="35" spans="1:31" x14ac:dyDescent="0.2">
      <c r="A35" s="2"/>
      <c r="B35" s="2"/>
      <c r="C35" s="2"/>
      <c r="D35" s="2"/>
      <c r="E35" s="2"/>
      <c r="F35" s="2"/>
      <c r="G35" s="2"/>
    </row>
    <row r="36" spans="1:31" x14ac:dyDescent="0.2">
      <c r="A36" s="2"/>
      <c r="B36" s="2" t="s">
        <v>95</v>
      </c>
      <c r="C36" s="2">
        <f>(C22-B22)/12</f>
        <v>5.4355555555556379E-3</v>
      </c>
      <c r="D36" s="2">
        <f>(D22-C22)/14</f>
        <v>-0.56533001904761959</v>
      </c>
      <c r="E36" s="2">
        <f>(E22-D22)/7</f>
        <v>-1.6648837333333333</v>
      </c>
      <c r="F36" s="2">
        <f>(F22-E22)/5</f>
        <v>0.72435674666667038</v>
      </c>
      <c r="G36" s="2">
        <f>(G22-F22)/4</f>
        <v>0.42363566666666408</v>
      </c>
    </row>
    <row r="37" spans="1:31" x14ac:dyDescent="0.2">
      <c r="A37" s="2"/>
      <c r="B37" s="2"/>
      <c r="C37" s="2"/>
      <c r="D37" s="2"/>
      <c r="E37" s="2"/>
      <c r="F37" s="2"/>
      <c r="G37" s="2"/>
    </row>
    <row r="43" spans="1:31" x14ac:dyDescent="0.2">
      <c r="B43">
        <v>1988</v>
      </c>
      <c r="C43">
        <v>2002</v>
      </c>
      <c r="D43">
        <v>2009</v>
      </c>
      <c r="E43">
        <v>2014</v>
      </c>
      <c r="F43">
        <v>2018</v>
      </c>
      <c r="G43">
        <v>1988</v>
      </c>
      <c r="H43">
        <v>2002</v>
      </c>
      <c r="I43">
        <v>2009</v>
      </c>
      <c r="J43">
        <v>2014</v>
      </c>
      <c r="K43">
        <v>2018</v>
      </c>
      <c r="L43">
        <v>1988</v>
      </c>
      <c r="M43">
        <v>2002</v>
      </c>
      <c r="N43">
        <v>2009</v>
      </c>
      <c r="O43">
        <v>2014</v>
      </c>
      <c r="P43">
        <v>2018</v>
      </c>
      <c r="Q43">
        <v>1988</v>
      </c>
      <c r="R43">
        <v>2002</v>
      </c>
      <c r="S43">
        <v>2009</v>
      </c>
      <c r="T43">
        <v>2014</v>
      </c>
      <c r="U43">
        <v>2018</v>
      </c>
      <c r="V43">
        <v>1988</v>
      </c>
      <c r="W43">
        <v>2002</v>
      </c>
      <c r="X43">
        <v>2009</v>
      </c>
      <c r="Y43">
        <v>2014</v>
      </c>
      <c r="Z43">
        <v>2018</v>
      </c>
      <c r="AA43">
        <v>1988</v>
      </c>
      <c r="AB43">
        <v>2002</v>
      </c>
      <c r="AC43">
        <v>2009</v>
      </c>
      <c r="AD43">
        <v>2014</v>
      </c>
      <c r="AE43">
        <v>2018</v>
      </c>
    </row>
    <row r="44" spans="1:31" x14ac:dyDescent="0.2">
      <c r="A44" t="s">
        <v>170</v>
      </c>
      <c r="C44" t="s">
        <v>171</v>
      </c>
      <c r="G44" t="s">
        <v>174</v>
      </c>
      <c r="I44" t="s">
        <v>175</v>
      </c>
      <c r="L44" t="s">
        <v>176</v>
      </c>
      <c r="Q44" t="s">
        <v>177</v>
      </c>
      <c r="V44" t="s">
        <v>178</v>
      </c>
      <c r="AA44" t="s">
        <v>179</v>
      </c>
    </row>
    <row r="45" spans="1:31" x14ac:dyDescent="0.2">
      <c r="A45" t="s">
        <v>95</v>
      </c>
      <c r="B45">
        <v>3.1999999999999997</v>
      </c>
      <c r="C45">
        <v>5.4033333333333333</v>
      </c>
      <c r="D45">
        <v>3.0133333333333336</v>
      </c>
      <c r="E45">
        <v>3.0650000000000004</v>
      </c>
      <c r="F45">
        <v>3.0666666666666664</v>
      </c>
      <c r="G45">
        <v>42.266666666666673</v>
      </c>
      <c r="H45">
        <v>27.966666666666669</v>
      </c>
      <c r="I45">
        <v>35.766666666666666</v>
      </c>
      <c r="J45">
        <v>37</v>
      </c>
      <c r="K45">
        <v>36</v>
      </c>
      <c r="L45">
        <v>2.4833333333333334</v>
      </c>
      <c r="M45">
        <v>1.26</v>
      </c>
      <c r="N45">
        <v>1.4466666666666665</v>
      </c>
      <c r="O45">
        <v>1.5666666666666667</v>
      </c>
      <c r="P45">
        <v>1.6333333333333335</v>
      </c>
      <c r="Q45">
        <v>74.888590604026859</v>
      </c>
      <c r="R45">
        <v>97.661375661375672</v>
      </c>
      <c r="S45">
        <v>108.78341013824885</v>
      </c>
      <c r="T45">
        <v>103.91489361702128</v>
      </c>
      <c r="U45">
        <v>96.979591836734684</v>
      </c>
      <c r="V45">
        <v>13.513513513513514</v>
      </c>
      <c r="W45">
        <v>10.239462563658034</v>
      </c>
      <c r="X45">
        <v>9.1925781580953991</v>
      </c>
      <c r="Y45">
        <v>9.6232596232596226</v>
      </c>
      <c r="Z45">
        <v>10.311447811447813</v>
      </c>
      <c r="AA45">
        <v>8.7413333333333343E-2</v>
      </c>
      <c r="AB45">
        <v>7.4890200000000004E-2</v>
      </c>
      <c r="AC45">
        <v>4.7952177777777778E-2</v>
      </c>
      <c r="AD45">
        <v>5.2820166666666682E-2</v>
      </c>
      <c r="AE45">
        <v>5.5097777777777794E-2</v>
      </c>
    </row>
    <row r="46" spans="1:31" x14ac:dyDescent="0.2">
      <c r="A46" t="s">
        <v>172</v>
      </c>
      <c r="B46">
        <v>5</v>
      </c>
      <c r="C46">
        <v>11.683333333333332</v>
      </c>
      <c r="D46">
        <v>5.5933333333333337</v>
      </c>
      <c r="E46">
        <v>4.5333333333333332</v>
      </c>
      <c r="F46">
        <v>4.833333333333333</v>
      </c>
      <c r="G46">
        <v>39.833333333333336</v>
      </c>
      <c r="H46">
        <v>22.599999999999998</v>
      </c>
      <c r="I46">
        <v>31.133333333333329</v>
      </c>
      <c r="J46">
        <v>34</v>
      </c>
      <c r="K46">
        <v>35.366666666666667</v>
      </c>
      <c r="L46">
        <v>2.3366666666666664</v>
      </c>
      <c r="M46">
        <v>0.93333333333333324</v>
      </c>
      <c r="N46">
        <v>1.3666666666666665</v>
      </c>
      <c r="O46">
        <v>1.5666666666666667</v>
      </c>
      <c r="P46">
        <v>1.9000000000000001</v>
      </c>
      <c r="Q46">
        <v>75.007132667617697</v>
      </c>
      <c r="R46">
        <v>106.54285714285714</v>
      </c>
      <c r="S46">
        <v>100.23414634146341</v>
      </c>
      <c r="T46">
        <v>95.489361702127681</v>
      </c>
      <c r="U46">
        <v>81.901754385964907</v>
      </c>
      <c r="V46">
        <v>13.513513513513514</v>
      </c>
      <c r="W46">
        <v>9.3858943416465532</v>
      </c>
      <c r="X46">
        <v>9.9766400622931677</v>
      </c>
      <c r="Y46">
        <v>10.472370766488412</v>
      </c>
      <c r="Z46">
        <v>12.209750664039072</v>
      </c>
      <c r="AA46">
        <v>0.12851666666666667</v>
      </c>
      <c r="AB46">
        <v>0.11994888888888888</v>
      </c>
      <c r="AC46">
        <v>8.4086444444444436E-2</v>
      </c>
      <c r="AD46">
        <v>7.8124444444444455E-2</v>
      </c>
      <c r="AE46">
        <v>0.10101666666666667</v>
      </c>
    </row>
    <row r="47" spans="1:31" x14ac:dyDescent="0.2">
      <c r="A47" t="s">
        <v>173</v>
      </c>
      <c r="B47">
        <v>6.9333333333333336</v>
      </c>
      <c r="C47">
        <v>16.766666666666669</v>
      </c>
      <c r="D47">
        <v>7.8433333333333337</v>
      </c>
      <c r="E47">
        <v>5.8999999999999995</v>
      </c>
      <c r="F47">
        <v>6.6333333333333329</v>
      </c>
      <c r="G47">
        <v>36.033333333333339</v>
      </c>
      <c r="H47">
        <v>16.8</v>
      </c>
      <c r="I47">
        <v>27.066666666666666</v>
      </c>
      <c r="J47">
        <v>29.666666666666668</v>
      </c>
      <c r="K47">
        <v>32.233333333333334</v>
      </c>
      <c r="L47">
        <v>1.9333333333333336</v>
      </c>
      <c r="M47">
        <v>0.66</v>
      </c>
      <c r="N47">
        <v>1.1933333333333334</v>
      </c>
      <c r="O47">
        <v>1.6</v>
      </c>
      <c r="P47">
        <v>1.8666666666666669</v>
      </c>
      <c r="Q47">
        <v>82.006896551724154</v>
      </c>
      <c r="R47">
        <v>112.00000000000001</v>
      </c>
      <c r="S47">
        <v>99.798882681564251</v>
      </c>
      <c r="T47">
        <v>81.583333333333343</v>
      </c>
      <c r="U47">
        <v>75.978571428571428</v>
      </c>
      <c r="V47">
        <v>13.513513513513514</v>
      </c>
      <c r="W47">
        <v>8.928571428571427</v>
      </c>
      <c r="X47">
        <v>10.020152261531571</v>
      </c>
      <c r="Y47">
        <v>12.257405515832481</v>
      </c>
      <c r="Z47">
        <v>13.161605715897339</v>
      </c>
      <c r="AA47">
        <v>0.14744888888888893</v>
      </c>
      <c r="AB47">
        <v>0.12172600000000004</v>
      </c>
      <c r="AC47">
        <v>0.10295682222222224</v>
      </c>
      <c r="AD47">
        <v>0.10384</v>
      </c>
      <c r="AE47">
        <v>0.13620444444444446</v>
      </c>
    </row>
    <row r="49" spans="2:22" x14ac:dyDescent="0.2">
      <c r="B49" s="2" t="s">
        <v>214</v>
      </c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2:22" x14ac:dyDescent="0.2">
      <c r="B50" s="2" t="s">
        <v>215</v>
      </c>
      <c r="C50" s="2"/>
      <c r="D50" s="2"/>
      <c r="E50" s="2"/>
      <c r="F50" s="2" t="s">
        <v>217</v>
      </c>
      <c r="G50" s="2"/>
      <c r="H50" s="2"/>
      <c r="I50" s="2"/>
      <c r="J50" s="2"/>
      <c r="K50" s="2"/>
      <c r="L50" s="2"/>
      <c r="Q50">
        <v>1976</v>
      </c>
      <c r="R50" t="s">
        <v>177</v>
      </c>
      <c r="T50">
        <v>2009</v>
      </c>
      <c r="U50">
        <v>2014</v>
      </c>
      <c r="V50">
        <v>2018</v>
      </c>
    </row>
    <row r="51" spans="2:22" x14ac:dyDescent="0.2">
      <c r="B51" s="2"/>
      <c r="C51" s="2"/>
      <c r="D51" s="2"/>
      <c r="E51" s="2"/>
      <c r="F51" s="2">
        <v>1988</v>
      </c>
      <c r="G51" s="2">
        <v>2002</v>
      </c>
      <c r="H51" s="2">
        <v>2009</v>
      </c>
      <c r="I51" s="2">
        <v>2014</v>
      </c>
      <c r="J51" s="2">
        <v>2018</v>
      </c>
      <c r="K51" s="2"/>
      <c r="L51" s="2"/>
      <c r="Q51">
        <v>81.942384922073231</v>
      </c>
      <c r="R51">
        <v>74.888590604026859</v>
      </c>
      <c r="S51">
        <v>97.661375661375672</v>
      </c>
      <c r="T51">
        <v>108.78341013824885</v>
      </c>
      <c r="U51">
        <v>103.91489361702128</v>
      </c>
      <c r="V51">
        <v>96.979591836734684</v>
      </c>
    </row>
    <row r="52" spans="2:22" x14ac:dyDescent="0.2">
      <c r="B52" s="2"/>
      <c r="C52" s="2"/>
      <c r="D52" s="2" t="s">
        <v>206</v>
      </c>
      <c r="E52" s="2"/>
      <c r="F52" s="2"/>
      <c r="G52" s="2"/>
      <c r="H52" s="2"/>
      <c r="I52" s="2"/>
      <c r="J52" s="2"/>
      <c r="K52" s="2"/>
      <c r="L52" s="2"/>
      <c r="Q52">
        <v>73.497594021851938</v>
      </c>
      <c r="R52">
        <v>75.007132667617697</v>
      </c>
      <c r="S52">
        <v>106.54285714285714</v>
      </c>
      <c r="T52">
        <v>100.23414634146341</v>
      </c>
      <c r="U52">
        <v>95.489361702127681</v>
      </c>
      <c r="V52">
        <v>81.901754385964907</v>
      </c>
    </row>
    <row r="53" spans="2:22" x14ac:dyDescent="0.2">
      <c r="B53" s="2" t="s">
        <v>211</v>
      </c>
      <c r="C53" s="2"/>
      <c r="D53" s="2"/>
      <c r="E53" s="2" t="s">
        <v>95</v>
      </c>
      <c r="F53" s="2">
        <v>3.1999999999999997</v>
      </c>
      <c r="G53" s="2">
        <v>5.4033333333333333</v>
      </c>
      <c r="H53" s="2">
        <v>3.0133333333333336</v>
      </c>
      <c r="I53" s="2">
        <v>3.0650000000000004</v>
      </c>
      <c r="J53" s="2">
        <v>3.0666666666666664</v>
      </c>
      <c r="K53" s="2"/>
      <c r="L53" s="2"/>
      <c r="Q53">
        <v>101.2567882548812</v>
      </c>
      <c r="R53">
        <v>82.006896551724154</v>
      </c>
      <c r="S53">
        <v>112.00000000000001</v>
      </c>
      <c r="T53">
        <v>99.798882681564251</v>
      </c>
      <c r="U53">
        <v>81.583333333333343</v>
      </c>
      <c r="V53">
        <v>75.978571428571428</v>
      </c>
    </row>
    <row r="54" spans="2:22" x14ac:dyDescent="0.2">
      <c r="B54" s="2" t="s">
        <v>207</v>
      </c>
      <c r="C54" s="2"/>
      <c r="D54" s="2"/>
      <c r="E54" s="2" t="s">
        <v>172</v>
      </c>
      <c r="F54" s="2">
        <v>5</v>
      </c>
      <c r="G54" s="2">
        <v>11.683333333333332</v>
      </c>
      <c r="H54" s="2">
        <v>5.5933333333333337</v>
      </c>
      <c r="I54" s="2">
        <v>4.5333333333333332</v>
      </c>
      <c r="J54" s="2">
        <v>4.833333333333333</v>
      </c>
      <c r="K54" s="2"/>
      <c r="L54" s="2"/>
    </row>
    <row r="55" spans="2:22" x14ac:dyDescent="0.2">
      <c r="B55" s="2"/>
      <c r="C55" s="2"/>
      <c r="D55" s="2"/>
      <c r="E55" s="2" t="s">
        <v>173</v>
      </c>
      <c r="F55" s="2">
        <v>6.9333333333333336</v>
      </c>
      <c r="G55" s="2">
        <v>16.766666666666669</v>
      </c>
      <c r="H55" s="2">
        <v>7.8433333333333337</v>
      </c>
      <c r="I55" s="2">
        <v>5.8999999999999995</v>
      </c>
      <c r="J55" s="2">
        <v>6.6333333333333329</v>
      </c>
      <c r="K55" s="2"/>
      <c r="L55" s="2"/>
      <c r="R55" t="s">
        <v>262</v>
      </c>
    </row>
    <row r="56" spans="2:22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Q56">
        <f>1000/Q51</f>
        <v>12.203696547897582</v>
      </c>
      <c r="R56">
        <f t="shared" ref="R56:V56" si="3">1000/R51</f>
        <v>13.353168913105819</v>
      </c>
      <c r="S56">
        <f t="shared" si="3"/>
        <v>10.239462563658034</v>
      </c>
      <c r="T56">
        <f t="shared" si="3"/>
        <v>9.1925781580953991</v>
      </c>
      <c r="U56">
        <f t="shared" si="3"/>
        <v>9.6232596232596226</v>
      </c>
      <c r="V56">
        <f t="shared" si="3"/>
        <v>10.311447811447813</v>
      </c>
    </row>
    <row r="57" spans="2:22" x14ac:dyDescent="0.2">
      <c r="B57" s="2" t="s">
        <v>208</v>
      </c>
      <c r="C57" s="2"/>
      <c r="D57" s="2"/>
      <c r="E57" s="2" t="s">
        <v>95</v>
      </c>
      <c r="F57" s="2">
        <v>42.266666666666673</v>
      </c>
      <c r="G57" s="2">
        <v>27.966666666666669</v>
      </c>
      <c r="H57" s="2">
        <v>35.766666666666666</v>
      </c>
      <c r="I57" s="2">
        <v>37</v>
      </c>
      <c r="J57" s="2">
        <v>36</v>
      </c>
      <c r="K57" s="2"/>
      <c r="L57" s="2"/>
      <c r="Q57">
        <f>1000/Q52</f>
        <v>13.605887557389769</v>
      </c>
      <c r="R57">
        <f t="shared" ref="R57:V57" si="4">1000/R52</f>
        <v>13.332065424115632</v>
      </c>
      <c r="S57">
        <f t="shared" si="4"/>
        <v>9.3858943416465532</v>
      </c>
      <c r="T57">
        <f t="shared" si="4"/>
        <v>9.9766400622931677</v>
      </c>
      <c r="U57">
        <f t="shared" si="4"/>
        <v>10.472370766488412</v>
      </c>
      <c r="V57">
        <f t="shared" si="4"/>
        <v>12.209750664039072</v>
      </c>
    </row>
    <row r="58" spans="2:22" x14ac:dyDescent="0.2">
      <c r="B58" s="2" t="s">
        <v>209</v>
      </c>
      <c r="C58" s="2"/>
      <c r="D58" s="2"/>
      <c r="E58" s="2" t="s">
        <v>172</v>
      </c>
      <c r="F58" s="2">
        <v>39.833333333333336</v>
      </c>
      <c r="G58" s="2">
        <v>22.599999999999998</v>
      </c>
      <c r="H58" s="2">
        <v>31.133333333333329</v>
      </c>
      <c r="I58" s="2">
        <v>34</v>
      </c>
      <c r="J58" s="2">
        <v>35.366666666666667</v>
      </c>
      <c r="K58" s="2"/>
      <c r="L58" s="2"/>
    </row>
    <row r="59" spans="2:22" x14ac:dyDescent="0.2">
      <c r="B59" s="2"/>
      <c r="C59" s="2"/>
      <c r="D59" s="2"/>
      <c r="E59" s="2" t="s">
        <v>173</v>
      </c>
      <c r="F59" s="2">
        <v>36.033333333333339</v>
      </c>
      <c r="G59" s="2">
        <v>16.8</v>
      </c>
      <c r="H59" s="2">
        <v>27.066666666666666</v>
      </c>
      <c r="I59" s="2">
        <v>29.666666666666668</v>
      </c>
      <c r="J59" s="2">
        <v>32.233333333333334</v>
      </c>
      <c r="K59" s="2"/>
      <c r="L59" s="2"/>
    </row>
    <row r="60" spans="2:22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2:22" x14ac:dyDescent="0.2">
      <c r="B61" s="2" t="s">
        <v>210</v>
      </c>
      <c r="C61" s="2"/>
      <c r="D61" s="2"/>
      <c r="E61" s="2" t="s">
        <v>95</v>
      </c>
      <c r="F61" s="2">
        <v>2.4833333333333334</v>
      </c>
      <c r="G61" s="2">
        <v>1.26</v>
      </c>
      <c r="H61" s="2">
        <v>1.4466666666666665</v>
      </c>
      <c r="I61" s="2">
        <v>1.5666666666666667</v>
      </c>
      <c r="J61" s="2">
        <v>1.6333333333333335</v>
      </c>
      <c r="K61" s="2"/>
      <c r="L61" s="2"/>
    </row>
    <row r="62" spans="2:22" x14ac:dyDescent="0.2">
      <c r="B62" s="2" t="s">
        <v>212</v>
      </c>
      <c r="C62" s="2"/>
      <c r="D62" s="2"/>
      <c r="E62" s="2" t="s">
        <v>172</v>
      </c>
      <c r="F62" s="2">
        <v>2.3366666666666664</v>
      </c>
      <c r="G62" s="2">
        <v>0.93333333333333324</v>
      </c>
      <c r="H62" s="2">
        <v>1.3666666666666665</v>
      </c>
      <c r="I62" s="2">
        <v>1.5666666666666667</v>
      </c>
      <c r="J62" s="2">
        <v>1.9000000000000001</v>
      </c>
      <c r="K62" s="2"/>
      <c r="L62" s="2"/>
    </row>
    <row r="63" spans="2:22" x14ac:dyDescent="0.2">
      <c r="B63" s="2"/>
      <c r="C63" s="2"/>
      <c r="D63" s="2"/>
      <c r="E63" s="2" t="s">
        <v>173</v>
      </c>
      <c r="F63" s="2">
        <v>1.9333333333333336</v>
      </c>
      <c r="G63" s="2">
        <v>0.66</v>
      </c>
      <c r="H63" s="2">
        <v>1.1933333333333334</v>
      </c>
      <c r="I63" s="2">
        <v>1.6</v>
      </c>
      <c r="J63" s="2">
        <v>1.8666666666666669</v>
      </c>
      <c r="K63" s="2"/>
      <c r="L63" s="2"/>
    </row>
    <row r="64" spans="2:22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4" x14ac:dyDescent="0.2">
      <c r="B65" s="2" t="s">
        <v>210</v>
      </c>
      <c r="C65" s="2"/>
      <c r="D65" s="2"/>
      <c r="E65" s="2" t="s">
        <v>95</v>
      </c>
      <c r="F65" s="2">
        <v>13.513513513513514</v>
      </c>
      <c r="G65" s="2">
        <v>10.239462563658034</v>
      </c>
      <c r="H65" s="2">
        <v>9.1925781580953991</v>
      </c>
      <c r="I65" s="2">
        <v>9.6232596232596226</v>
      </c>
      <c r="J65" s="2">
        <v>10.311447811447813</v>
      </c>
      <c r="K65" s="2"/>
      <c r="L65" s="2"/>
    </row>
    <row r="66" spans="1:14" x14ac:dyDescent="0.2">
      <c r="B66" s="2" t="s">
        <v>213</v>
      </c>
      <c r="C66" s="2"/>
      <c r="D66" s="2"/>
      <c r="E66" s="2" t="s">
        <v>172</v>
      </c>
      <c r="F66" s="2">
        <v>13.513513513513514</v>
      </c>
      <c r="G66" s="2">
        <v>9.3858943416465532</v>
      </c>
      <c r="H66" s="2">
        <v>9.9766400622931677</v>
      </c>
      <c r="I66" s="2">
        <v>10.472370766488412</v>
      </c>
      <c r="J66" s="2">
        <v>12.209750664039072</v>
      </c>
      <c r="K66" s="2"/>
      <c r="L66" s="2"/>
    </row>
    <row r="67" spans="1:14" x14ac:dyDescent="0.2">
      <c r="B67" s="2"/>
      <c r="C67" s="2"/>
      <c r="D67" s="2"/>
      <c r="E67" s="2" t="s">
        <v>173</v>
      </c>
      <c r="F67" s="2">
        <v>13.513513513513514</v>
      </c>
      <c r="G67" s="2">
        <v>8.928571428571427</v>
      </c>
      <c r="H67" s="2">
        <v>10.020152261531571</v>
      </c>
      <c r="I67" s="2">
        <v>12.257405515832481</v>
      </c>
      <c r="J67" s="2">
        <v>13.161605715897339</v>
      </c>
      <c r="K67" s="2"/>
      <c r="L67" s="2"/>
    </row>
    <row r="68" spans="1:14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4" x14ac:dyDescent="0.2">
      <c r="B69" s="2" t="s">
        <v>210</v>
      </c>
      <c r="C69" s="2"/>
      <c r="D69" s="2"/>
      <c r="E69" s="2" t="s">
        <v>95</v>
      </c>
      <c r="F69" s="2">
        <v>8.7413333333333343E-2</v>
      </c>
      <c r="G69" s="2">
        <v>7.4890200000000004E-2</v>
      </c>
      <c r="H69" s="2">
        <v>4.7952177777777778E-2</v>
      </c>
      <c r="I69" s="2">
        <v>5.2820166666666682E-2</v>
      </c>
      <c r="J69" s="2">
        <v>5.5097777777777794E-2</v>
      </c>
      <c r="K69" s="2"/>
      <c r="L69" s="2"/>
    </row>
    <row r="70" spans="1:14" x14ac:dyDescent="0.2">
      <c r="B70" s="2" t="s">
        <v>216</v>
      </c>
      <c r="C70" s="2"/>
      <c r="D70" s="2"/>
      <c r="E70" s="2" t="s">
        <v>172</v>
      </c>
      <c r="F70" s="2">
        <v>0.12851666666666667</v>
      </c>
      <c r="G70" s="2">
        <v>0.11994888888888888</v>
      </c>
      <c r="H70" s="2">
        <v>8.4086444444444436E-2</v>
      </c>
      <c r="I70" s="2">
        <v>7.8124444444444455E-2</v>
      </c>
      <c r="J70" s="2">
        <v>0.10101666666666667</v>
      </c>
      <c r="K70" s="2"/>
      <c r="L70" s="2"/>
    </row>
    <row r="71" spans="1:14" x14ac:dyDescent="0.2">
      <c r="B71" s="2"/>
      <c r="C71" s="2"/>
      <c r="D71" s="2"/>
      <c r="E71" s="2" t="s">
        <v>173</v>
      </c>
      <c r="F71" s="2">
        <v>0.14744888888888893</v>
      </c>
      <c r="G71" s="2">
        <v>0.12172600000000004</v>
      </c>
      <c r="H71" s="2">
        <v>0.10295682222222224</v>
      </c>
      <c r="I71" s="2">
        <v>0.10384</v>
      </c>
      <c r="J71" s="2">
        <v>0.13620444444444446</v>
      </c>
      <c r="K71" s="2"/>
      <c r="L71" s="2"/>
    </row>
    <row r="75" spans="1:14" x14ac:dyDescent="0.2">
      <c r="A75" t="s">
        <v>226</v>
      </c>
      <c r="D75" t="s">
        <v>227</v>
      </c>
    </row>
    <row r="76" spans="1:14" x14ac:dyDescent="0.2">
      <c r="B76" t="s">
        <v>228</v>
      </c>
      <c r="D76" t="s">
        <v>542</v>
      </c>
      <c r="E76" t="s">
        <v>170</v>
      </c>
      <c r="F76" t="s">
        <v>232</v>
      </c>
      <c r="H76" t="s">
        <v>239</v>
      </c>
      <c r="I76" t="s">
        <v>170</v>
      </c>
    </row>
    <row r="77" spans="1:14" x14ac:dyDescent="0.2">
      <c r="D77" t="s">
        <v>543</v>
      </c>
      <c r="E77" s="2">
        <f>(83+75+85+76+92+72)/6</f>
        <v>80.5</v>
      </c>
      <c r="H77" t="s">
        <v>85</v>
      </c>
      <c r="I77" s="2">
        <f>(H78+336+H80+H81+H82)/5</f>
        <v>508.2</v>
      </c>
    </row>
    <row r="78" spans="1:14" x14ac:dyDescent="0.2">
      <c r="A78">
        <v>1973</v>
      </c>
      <c r="D78">
        <v>83.4</v>
      </c>
      <c r="H78">
        <v>266</v>
      </c>
    </row>
    <row r="79" spans="1:14" x14ac:dyDescent="0.2">
      <c r="A79">
        <v>1976</v>
      </c>
      <c r="D79" t="s">
        <v>235</v>
      </c>
      <c r="H79" t="s">
        <v>234</v>
      </c>
      <c r="K79" t="s">
        <v>165</v>
      </c>
      <c r="M79">
        <v>49.5</v>
      </c>
      <c r="N79">
        <v>140</v>
      </c>
    </row>
    <row r="80" spans="1:14" x14ac:dyDescent="0.2">
      <c r="A80">
        <v>1977</v>
      </c>
      <c r="D80">
        <v>76</v>
      </c>
      <c r="H80">
        <v>555</v>
      </c>
      <c r="M80" t="s">
        <v>50</v>
      </c>
      <c r="N80" t="s">
        <v>52</v>
      </c>
    </row>
    <row r="81" spans="1:14" x14ac:dyDescent="0.2">
      <c r="A81" t="s">
        <v>230</v>
      </c>
      <c r="D81">
        <v>92</v>
      </c>
      <c r="H81">
        <v>628</v>
      </c>
      <c r="K81" t="s">
        <v>233</v>
      </c>
      <c r="M81">
        <f>26/60.8*B83</f>
        <v>31.088815789473685</v>
      </c>
      <c r="N81">
        <v>140</v>
      </c>
    </row>
    <row r="82" spans="1:14" x14ac:dyDescent="0.2">
      <c r="A82" t="s">
        <v>229</v>
      </c>
      <c r="D82">
        <v>72</v>
      </c>
      <c r="H82">
        <v>756</v>
      </c>
      <c r="M82">
        <f>M81/B83*B84</f>
        <v>28.253618421052629</v>
      </c>
    </row>
    <row r="83" spans="1:14" x14ac:dyDescent="0.2">
      <c r="A83">
        <v>1985</v>
      </c>
      <c r="B83">
        <v>72.7</v>
      </c>
      <c r="F83">
        <v>202</v>
      </c>
      <c r="K83" t="s">
        <v>165</v>
      </c>
    </row>
    <row r="84" spans="1:14" x14ac:dyDescent="0.2">
      <c r="A84">
        <v>1986</v>
      </c>
      <c r="B84">
        <v>66.069999999999993</v>
      </c>
      <c r="C84" t="s">
        <v>170</v>
      </c>
      <c r="F84">
        <v>185.8</v>
      </c>
      <c r="G84" t="s">
        <v>170</v>
      </c>
      <c r="L84" t="s">
        <v>50</v>
      </c>
      <c r="M84" t="s">
        <v>52</v>
      </c>
    </row>
    <row r="85" spans="1:14" x14ac:dyDescent="0.2">
      <c r="A85">
        <v>1987</v>
      </c>
      <c r="B85">
        <v>48.9</v>
      </c>
      <c r="C85" s="2">
        <f>AVERAGE(B83:B85)</f>
        <v>62.556666666666665</v>
      </c>
      <c r="F85">
        <v>209.6</v>
      </c>
      <c r="G85" s="2">
        <f>AVERAGE(F83:F85)</f>
        <v>199.13333333333333</v>
      </c>
    </row>
    <row r="86" spans="1:14" x14ac:dyDescent="0.2">
      <c r="A86">
        <v>1988</v>
      </c>
      <c r="B86">
        <v>35.700000000000003</v>
      </c>
      <c r="F86">
        <v>216.6</v>
      </c>
    </row>
    <row r="87" spans="1:14" x14ac:dyDescent="0.2">
      <c r="A87">
        <v>1989</v>
      </c>
      <c r="B87">
        <v>30.02</v>
      </c>
      <c r="H87">
        <v>359</v>
      </c>
    </row>
    <row r="88" spans="1:14" x14ac:dyDescent="0.2">
      <c r="A88">
        <v>90</v>
      </c>
      <c r="B88">
        <v>25.66</v>
      </c>
      <c r="H88">
        <v>425</v>
      </c>
    </row>
    <row r="89" spans="1:14" x14ac:dyDescent="0.2">
      <c r="A89">
        <v>91</v>
      </c>
      <c r="B89">
        <v>16.739999999999998</v>
      </c>
      <c r="H89">
        <v>564</v>
      </c>
    </row>
    <row r="90" spans="1:14" x14ac:dyDescent="0.2">
      <c r="A90">
        <v>92</v>
      </c>
      <c r="B90">
        <v>12.77</v>
      </c>
      <c r="H90">
        <v>458</v>
      </c>
    </row>
    <row r="91" spans="1:14" x14ac:dyDescent="0.2">
      <c r="A91">
        <v>93</v>
      </c>
      <c r="B91">
        <v>11.55</v>
      </c>
      <c r="H91">
        <v>426</v>
      </c>
    </row>
    <row r="92" spans="1:14" x14ac:dyDescent="0.2">
      <c r="A92">
        <v>94</v>
      </c>
      <c r="B92">
        <v>12.66</v>
      </c>
      <c r="H92">
        <v>516</v>
      </c>
    </row>
    <row r="93" spans="1:14" x14ac:dyDescent="0.2">
      <c r="A93">
        <v>95</v>
      </c>
      <c r="B93">
        <v>8.3000000000000007</v>
      </c>
      <c r="H93">
        <v>374</v>
      </c>
    </row>
    <row r="94" spans="1:14" x14ac:dyDescent="0.2">
      <c r="A94">
        <v>96</v>
      </c>
      <c r="B94">
        <v>5.52</v>
      </c>
      <c r="H94">
        <v>173</v>
      </c>
    </row>
    <row r="95" spans="1:14" x14ac:dyDescent="0.2">
      <c r="A95">
        <v>97</v>
      </c>
      <c r="B95">
        <v>5.68</v>
      </c>
      <c r="H95">
        <v>176</v>
      </c>
    </row>
    <row r="96" spans="1:14" x14ac:dyDescent="0.2">
      <c r="A96">
        <v>98</v>
      </c>
      <c r="B96">
        <v>6.03</v>
      </c>
      <c r="H96">
        <v>485</v>
      </c>
    </row>
    <row r="97" spans="1:13" x14ac:dyDescent="0.2">
      <c r="A97">
        <v>99</v>
      </c>
    </row>
    <row r="98" spans="1:13" x14ac:dyDescent="0.2">
      <c r="A98">
        <v>2000</v>
      </c>
    </row>
    <row r="99" spans="1:13" x14ac:dyDescent="0.2">
      <c r="A99">
        <v>2002</v>
      </c>
    </row>
    <row r="100" spans="1:13" x14ac:dyDescent="0.2">
      <c r="A100">
        <v>3</v>
      </c>
    </row>
    <row r="101" spans="1:13" x14ac:dyDescent="0.2">
      <c r="A101">
        <v>4</v>
      </c>
    </row>
    <row r="102" spans="1:13" x14ac:dyDescent="0.2">
      <c r="A102">
        <v>5</v>
      </c>
    </row>
    <row r="103" spans="1:13" x14ac:dyDescent="0.2">
      <c r="A103">
        <v>6</v>
      </c>
    </row>
    <row r="104" spans="1:13" x14ac:dyDescent="0.2">
      <c r="A104">
        <v>7</v>
      </c>
    </row>
    <row r="105" spans="1:13" x14ac:dyDescent="0.2">
      <c r="A105">
        <v>8</v>
      </c>
    </row>
    <row r="106" spans="1:13" x14ac:dyDescent="0.2">
      <c r="A106">
        <v>9</v>
      </c>
    </row>
    <row r="107" spans="1:13" x14ac:dyDescent="0.2">
      <c r="A107">
        <v>10</v>
      </c>
    </row>
    <row r="108" spans="1:13" x14ac:dyDescent="0.2">
      <c r="A108">
        <v>11</v>
      </c>
    </row>
    <row r="109" spans="1:13" x14ac:dyDescent="0.2">
      <c r="A109">
        <v>12</v>
      </c>
    </row>
    <row r="110" spans="1:13" x14ac:dyDescent="0.2">
      <c r="A110">
        <v>13</v>
      </c>
      <c r="C110" t="s">
        <v>240</v>
      </c>
      <c r="L110" t="s">
        <v>165</v>
      </c>
    </row>
    <row r="111" spans="1:13" x14ac:dyDescent="0.2">
      <c r="A111">
        <v>14</v>
      </c>
      <c r="L111" t="s">
        <v>50</v>
      </c>
      <c r="M111" t="s">
        <v>52</v>
      </c>
    </row>
    <row r="112" spans="1:13" x14ac:dyDescent="0.2">
      <c r="A112">
        <v>15</v>
      </c>
      <c r="B112">
        <v>2.2090000000000001</v>
      </c>
      <c r="C112">
        <f>B112+0.027</f>
        <v>2.2360000000000002</v>
      </c>
      <c r="L112">
        <v>1.538</v>
      </c>
      <c r="M112">
        <v>37.39</v>
      </c>
    </row>
    <row r="113" spans="1:13" x14ac:dyDescent="0.2">
      <c r="A113">
        <v>16</v>
      </c>
      <c r="B113">
        <v>1.885</v>
      </c>
      <c r="C113">
        <f t="shared" ref="C113:C120" si="5">B113+0.027</f>
        <v>1.9119999999999999</v>
      </c>
      <c r="L113">
        <v>1</v>
      </c>
      <c r="M113">
        <v>38.585999999999999</v>
      </c>
    </row>
    <row r="114" spans="1:13" x14ac:dyDescent="0.2">
      <c r="A114">
        <v>17</v>
      </c>
      <c r="B114">
        <v>1.774</v>
      </c>
      <c r="C114">
        <f t="shared" si="5"/>
        <v>1.8009999999999999</v>
      </c>
      <c r="G114" t="s">
        <v>240</v>
      </c>
      <c r="L114">
        <v>1.073</v>
      </c>
      <c r="M114">
        <v>61.15</v>
      </c>
    </row>
    <row r="115" spans="1:13" x14ac:dyDescent="0.2">
      <c r="A115">
        <v>18</v>
      </c>
      <c r="B115">
        <v>2.4889999999999999</v>
      </c>
      <c r="C115">
        <f t="shared" si="5"/>
        <v>2.516</v>
      </c>
      <c r="F115">
        <v>47.627000000000002</v>
      </c>
      <c r="G115">
        <f>F115+0.532</f>
        <v>48.159000000000006</v>
      </c>
      <c r="L115">
        <v>2.085</v>
      </c>
      <c r="M115">
        <v>40.924999999999997</v>
      </c>
    </row>
    <row r="116" spans="1:13" x14ac:dyDescent="0.2">
      <c r="A116">
        <v>19</v>
      </c>
      <c r="B116">
        <v>5.8849999999999998</v>
      </c>
      <c r="C116">
        <f t="shared" si="5"/>
        <v>5.9119999999999999</v>
      </c>
      <c r="F116">
        <v>36.281999999999996</v>
      </c>
      <c r="G116">
        <f t="shared" ref="G116:G120" si="6">F116+0.532</f>
        <v>36.813999999999993</v>
      </c>
      <c r="L116">
        <v>5.343</v>
      </c>
      <c r="M116">
        <v>30.754999999999999</v>
      </c>
    </row>
    <row r="117" spans="1:13" x14ac:dyDescent="0.2">
      <c r="A117">
        <v>2020</v>
      </c>
      <c r="B117">
        <v>1.4419999999999999</v>
      </c>
      <c r="C117">
        <f t="shared" si="5"/>
        <v>1.4689999999999999</v>
      </c>
      <c r="F117">
        <v>27.256</v>
      </c>
      <c r="G117">
        <f t="shared" si="6"/>
        <v>27.788</v>
      </c>
      <c r="L117">
        <v>1.091</v>
      </c>
      <c r="M117">
        <v>18.550999999999998</v>
      </c>
    </row>
    <row r="118" spans="1:13" x14ac:dyDescent="0.2">
      <c r="A118">
        <v>1</v>
      </c>
      <c r="B118">
        <v>1.405</v>
      </c>
      <c r="C118">
        <f t="shared" si="5"/>
        <v>1.4319999999999999</v>
      </c>
      <c r="F118">
        <v>20.63</v>
      </c>
      <c r="G118">
        <f t="shared" si="6"/>
        <v>21.161999999999999</v>
      </c>
      <c r="L118">
        <v>0.81</v>
      </c>
      <c r="M118">
        <v>13.754</v>
      </c>
    </row>
    <row r="119" spans="1:13" x14ac:dyDescent="0.2">
      <c r="A119">
        <v>2</v>
      </c>
      <c r="B119">
        <v>1.4410000000000001</v>
      </c>
      <c r="C119">
        <f t="shared" si="5"/>
        <v>1.468</v>
      </c>
      <c r="F119">
        <v>21.111999999999998</v>
      </c>
      <c r="G119">
        <f t="shared" si="6"/>
        <v>21.643999999999998</v>
      </c>
      <c r="L119">
        <v>0.89600000000000002</v>
      </c>
      <c r="M119">
        <v>11.678000000000001</v>
      </c>
    </row>
    <row r="120" spans="1:13" x14ac:dyDescent="0.2">
      <c r="A120">
        <v>3</v>
      </c>
      <c r="B120">
        <v>1.4610000000000001</v>
      </c>
      <c r="C120">
        <f t="shared" si="5"/>
        <v>1.488</v>
      </c>
      <c r="D120">
        <f>AVERAGE(C117:C120)</f>
        <v>1.4642499999999998</v>
      </c>
      <c r="F120">
        <v>22.18</v>
      </c>
      <c r="G120">
        <f t="shared" si="6"/>
        <v>22.712</v>
      </c>
      <c r="H120">
        <f>AVERAGE(G117:G120)</f>
        <v>23.326499999999999</v>
      </c>
      <c r="L120">
        <v>1.0609999999999999</v>
      </c>
      <c r="M120">
        <v>12.206</v>
      </c>
    </row>
    <row r="121" spans="1:13" x14ac:dyDescent="0.2">
      <c r="A121">
        <v>4</v>
      </c>
      <c r="K121" t="s">
        <v>236</v>
      </c>
      <c r="L121">
        <f>AVERAGE(L117:L120)</f>
        <v>0.96450000000000002</v>
      </c>
      <c r="M121">
        <f>AVERAGE(M117:M120)</f>
        <v>14.047250000000002</v>
      </c>
    </row>
    <row r="122" spans="1:13" x14ac:dyDescent="0.2">
      <c r="K122" t="s">
        <v>237</v>
      </c>
      <c r="L122" s="2">
        <f>L121*100/M81</f>
        <v>3.1024018622368001</v>
      </c>
      <c r="M122" s="2">
        <f>M121*100/140</f>
        <v>10.033750000000001</v>
      </c>
    </row>
    <row r="123" spans="1:13" x14ac:dyDescent="0.2">
      <c r="A123" t="s">
        <v>237</v>
      </c>
      <c r="B123" s="3"/>
      <c r="C123" s="4">
        <v>1.8200000000000001E-2</v>
      </c>
      <c r="F123" s="3"/>
      <c r="G123" s="3">
        <v>0.05</v>
      </c>
    </row>
    <row r="124" spans="1:13" x14ac:dyDescent="0.2">
      <c r="A124" t="s">
        <v>238</v>
      </c>
      <c r="K124" s="2" t="s">
        <v>245</v>
      </c>
      <c r="L124" s="2"/>
      <c r="M124" s="2"/>
    </row>
    <row r="125" spans="1:13" x14ac:dyDescent="0.2">
      <c r="A125" t="s">
        <v>242</v>
      </c>
      <c r="K125" s="2">
        <v>1978</v>
      </c>
      <c r="L125" s="5">
        <v>1.9E-2</v>
      </c>
      <c r="M125" s="5">
        <v>5.8000000000000003E-2</v>
      </c>
    </row>
    <row r="126" spans="1:13" x14ac:dyDescent="0.2">
      <c r="A126" t="s">
        <v>237</v>
      </c>
      <c r="L126">
        <f>L122*K129</f>
        <v>1.5167297993157689</v>
      </c>
      <c r="M126">
        <f>M122*K129</f>
        <v>4.905388888888889</v>
      </c>
    </row>
    <row r="127" spans="1:13" x14ac:dyDescent="0.2">
      <c r="A127" t="s">
        <v>238</v>
      </c>
      <c r="K127">
        <f>0.96/31</f>
        <v>3.0967741935483871E-2</v>
      </c>
    </row>
    <row r="128" spans="1:13" x14ac:dyDescent="0.2">
      <c r="A128" t="s">
        <v>241</v>
      </c>
    </row>
    <row r="129" spans="1:11" x14ac:dyDescent="0.2">
      <c r="A129" t="s">
        <v>243</v>
      </c>
      <c r="C129" s="5">
        <v>2.3400000000000001E-2</v>
      </c>
      <c r="D129" s="2"/>
      <c r="E129" s="2"/>
      <c r="F129" s="2"/>
      <c r="G129" s="2">
        <f>H120*100/G85</f>
        <v>11.714010713090058</v>
      </c>
      <c r="K129">
        <f>22/45</f>
        <v>0.48888888888888887</v>
      </c>
    </row>
    <row r="130" spans="1:11" x14ac:dyDescent="0.2">
      <c r="A130" t="s">
        <v>244</v>
      </c>
      <c r="C130" s="3">
        <v>0.02</v>
      </c>
      <c r="G130" s="2">
        <f>H120*100/F83</f>
        <v>11.547772277227724</v>
      </c>
    </row>
    <row r="132" spans="1:11" x14ac:dyDescent="0.2">
      <c r="A132" t="s">
        <v>246</v>
      </c>
      <c r="C132" s="4"/>
      <c r="G132" s="3"/>
    </row>
    <row r="133" spans="1:11" x14ac:dyDescent="0.2">
      <c r="A133" t="s">
        <v>165</v>
      </c>
      <c r="B133">
        <v>0.41</v>
      </c>
    </row>
    <row r="134" spans="1:11" x14ac:dyDescent="0.2">
      <c r="A134" t="s">
        <v>247</v>
      </c>
      <c r="B134">
        <v>0.35</v>
      </c>
    </row>
    <row r="135" spans="1:11" x14ac:dyDescent="0.2">
      <c r="A135" t="s">
        <v>248</v>
      </c>
    </row>
    <row r="136" spans="1:11" x14ac:dyDescent="0.2">
      <c r="A136" t="s">
        <v>231</v>
      </c>
      <c r="B136" t="s">
        <v>250</v>
      </c>
      <c r="C136" t="s">
        <v>249</v>
      </c>
      <c r="D136">
        <f>D120+0.76</f>
        <v>2.2242499999999996</v>
      </c>
    </row>
    <row r="137" spans="1:11" x14ac:dyDescent="0.2">
      <c r="C137" t="s">
        <v>168</v>
      </c>
    </row>
    <row r="139" spans="1:11" x14ac:dyDescent="0.2">
      <c r="A139" t="s">
        <v>251</v>
      </c>
      <c r="D139" t="s">
        <v>256</v>
      </c>
    </row>
    <row r="140" spans="1:11" x14ac:dyDescent="0.2">
      <c r="A140" t="s">
        <v>252</v>
      </c>
      <c r="B140" s="6"/>
    </row>
    <row r="141" spans="1:11" x14ac:dyDescent="0.2">
      <c r="A141" t="s">
        <v>253</v>
      </c>
      <c r="D141">
        <v>6.84</v>
      </c>
    </row>
    <row r="143" spans="1:11" x14ac:dyDescent="0.2">
      <c r="A143" t="s">
        <v>254</v>
      </c>
    </row>
    <row r="144" spans="1:11" x14ac:dyDescent="0.2">
      <c r="A144" t="s">
        <v>255</v>
      </c>
      <c r="D144">
        <v>2.2242500000000001</v>
      </c>
    </row>
    <row r="145" spans="1:4" x14ac:dyDescent="0.2">
      <c r="A145" s="7" t="s">
        <v>248</v>
      </c>
      <c r="D145">
        <f>D144/D141*100</f>
        <v>32.518274853801174</v>
      </c>
    </row>
    <row r="148" spans="1:4" x14ac:dyDescent="0.2">
      <c r="A148" t="s">
        <v>257</v>
      </c>
    </row>
    <row r="149" spans="1:4" x14ac:dyDescent="0.2">
      <c r="A149" t="s">
        <v>79</v>
      </c>
      <c r="B149" t="s">
        <v>50</v>
      </c>
    </row>
    <row r="150" spans="1:4" x14ac:dyDescent="0.2">
      <c r="A150">
        <v>1973</v>
      </c>
      <c r="B150">
        <v>0.75</v>
      </c>
    </row>
    <row r="151" spans="1:4" x14ac:dyDescent="0.2">
      <c r="A151">
        <v>76</v>
      </c>
      <c r="B151">
        <v>0.91</v>
      </c>
    </row>
    <row r="152" spans="1:4" x14ac:dyDescent="0.2">
      <c r="A152">
        <v>77</v>
      </c>
      <c r="B152">
        <v>0.91</v>
      </c>
    </row>
    <row r="153" spans="1:4" x14ac:dyDescent="0.2">
      <c r="A153">
        <v>78</v>
      </c>
      <c r="B153">
        <v>0.84</v>
      </c>
    </row>
    <row r="154" spans="1:4" x14ac:dyDescent="0.2">
      <c r="A154">
        <v>79</v>
      </c>
      <c r="B154">
        <v>0.73</v>
      </c>
    </row>
    <row r="156" spans="1:4" x14ac:dyDescent="0.2">
      <c r="A156">
        <v>85</v>
      </c>
      <c r="B156">
        <v>0.94</v>
      </c>
    </row>
    <row r="157" spans="1:4" x14ac:dyDescent="0.2">
      <c r="A157">
        <v>86</v>
      </c>
      <c r="B157">
        <v>0.74</v>
      </c>
    </row>
    <row r="158" spans="1:4" x14ac:dyDescent="0.2">
      <c r="A158">
        <v>87</v>
      </c>
      <c r="B158">
        <v>0.56999999999999995</v>
      </c>
    </row>
    <row r="159" spans="1:4" x14ac:dyDescent="0.2">
      <c r="A159">
        <v>88</v>
      </c>
      <c r="B159">
        <v>0.45</v>
      </c>
    </row>
    <row r="160" spans="1:4" x14ac:dyDescent="0.2">
      <c r="A160">
        <v>89</v>
      </c>
      <c r="B160">
        <v>0.41</v>
      </c>
    </row>
    <row r="163" spans="1:5" x14ac:dyDescent="0.2">
      <c r="A163" t="s">
        <v>263</v>
      </c>
      <c r="B163" t="s">
        <v>264</v>
      </c>
    </row>
    <row r="164" spans="1:5" x14ac:dyDescent="0.2">
      <c r="A164" t="s">
        <v>265</v>
      </c>
      <c r="B164" t="s">
        <v>21</v>
      </c>
      <c r="C164" t="s">
        <v>87</v>
      </c>
      <c r="E164" t="s">
        <v>266</v>
      </c>
    </row>
    <row r="165" spans="1:5" x14ac:dyDescent="0.2">
      <c r="A165">
        <v>0</v>
      </c>
      <c r="B165">
        <v>10</v>
      </c>
      <c r="C165">
        <v>10</v>
      </c>
      <c r="E165" t="s">
        <v>267</v>
      </c>
    </row>
    <row r="166" spans="1:5" x14ac:dyDescent="0.2">
      <c r="A166">
        <v>1</v>
      </c>
      <c r="B166">
        <v>10</v>
      </c>
      <c r="C166">
        <v>10</v>
      </c>
      <c r="E166" t="s">
        <v>268</v>
      </c>
    </row>
    <row r="167" spans="1:5" x14ac:dyDescent="0.2">
      <c r="A167">
        <v>2</v>
      </c>
      <c r="B167">
        <v>9</v>
      </c>
      <c r="C167">
        <v>9.75</v>
      </c>
      <c r="E167" t="s">
        <v>269</v>
      </c>
    </row>
    <row r="168" spans="1:5" x14ac:dyDescent="0.2">
      <c r="A168">
        <v>3</v>
      </c>
      <c r="B168">
        <v>8</v>
      </c>
      <c r="C168">
        <v>9.125</v>
      </c>
      <c r="E168" t="s">
        <v>270</v>
      </c>
    </row>
    <row r="169" spans="1:5" x14ac:dyDescent="0.2">
      <c r="A169">
        <v>4</v>
      </c>
      <c r="B169">
        <v>7</v>
      </c>
      <c r="C169">
        <v>8.3125</v>
      </c>
    </row>
    <row r="170" spans="1:5" x14ac:dyDescent="0.2">
      <c r="A170">
        <v>5</v>
      </c>
      <c r="B170">
        <v>6</v>
      </c>
      <c r="C170">
        <v>7.40625</v>
      </c>
    </row>
    <row r="171" spans="1:5" x14ac:dyDescent="0.2">
      <c r="A171">
        <v>6</v>
      </c>
      <c r="B171">
        <v>5</v>
      </c>
      <c r="C171">
        <v>6.453125</v>
      </c>
    </row>
    <row r="172" spans="1:5" x14ac:dyDescent="0.2">
      <c r="A172">
        <v>7</v>
      </c>
      <c r="B172">
        <v>4</v>
      </c>
      <c r="C172">
        <v>5.4764999999999997</v>
      </c>
    </row>
    <row r="173" spans="1:5" x14ac:dyDescent="0.2">
      <c r="A173">
        <v>8</v>
      </c>
      <c r="B173">
        <v>3</v>
      </c>
      <c r="C173">
        <v>4.4882499999999999</v>
      </c>
    </row>
    <row r="174" spans="1:5" x14ac:dyDescent="0.2">
      <c r="A174">
        <v>9</v>
      </c>
      <c r="B174">
        <v>2</v>
      </c>
      <c r="C174">
        <v>3.4940000000000002</v>
      </c>
    </row>
    <row r="175" spans="1:5" x14ac:dyDescent="0.2">
      <c r="A175">
        <v>10</v>
      </c>
      <c r="B175">
        <v>1</v>
      </c>
      <c r="C175">
        <v>2.4969999999999999</v>
      </c>
    </row>
    <row r="176" spans="1:5" x14ac:dyDescent="0.2">
      <c r="A176">
        <v>11</v>
      </c>
      <c r="B176">
        <v>1</v>
      </c>
      <c r="C176">
        <v>1.7484999999999999</v>
      </c>
    </row>
    <row r="177" spans="1:5" x14ac:dyDescent="0.2">
      <c r="A177">
        <v>12</v>
      </c>
      <c r="B177">
        <v>1</v>
      </c>
      <c r="C177">
        <v>1.37425</v>
      </c>
    </row>
    <row r="178" spans="1:5" x14ac:dyDescent="0.2">
      <c r="A178">
        <v>13</v>
      </c>
      <c r="B178">
        <v>1</v>
      </c>
      <c r="C178">
        <v>1.1871</v>
      </c>
    </row>
    <row r="179" spans="1:5" x14ac:dyDescent="0.2">
      <c r="A179">
        <v>14</v>
      </c>
      <c r="B179">
        <v>1</v>
      </c>
      <c r="C179">
        <v>1.09355</v>
      </c>
    </row>
    <row r="180" spans="1:5" x14ac:dyDescent="0.2">
      <c r="A180">
        <v>15</v>
      </c>
      <c r="B180">
        <v>1</v>
      </c>
      <c r="C180">
        <v>1.046</v>
      </c>
    </row>
    <row r="182" spans="1:5" x14ac:dyDescent="0.2">
      <c r="E182" t="s">
        <v>201</v>
      </c>
    </row>
    <row r="183" spans="1:5" x14ac:dyDescent="0.2">
      <c r="A183" t="s">
        <v>271</v>
      </c>
      <c r="C183">
        <f>50000000/(37.3*1000000*3.1)</f>
        <v>0.4324137334601747</v>
      </c>
      <c r="D183" t="s">
        <v>151</v>
      </c>
      <c r="E183">
        <f>C183*0.35</f>
        <v>0.15134480671106113</v>
      </c>
    </row>
    <row r="184" spans="1:5" x14ac:dyDescent="0.2">
      <c r="A184" t="s">
        <v>272</v>
      </c>
    </row>
    <row r="185" spans="1:5" x14ac:dyDescent="0.2">
      <c r="A185" t="s">
        <v>273</v>
      </c>
      <c r="C185">
        <f>C183*3</f>
        <v>1.297241200380524</v>
      </c>
    </row>
    <row r="187" spans="1:5" x14ac:dyDescent="0.2">
      <c r="A187" t="s">
        <v>274</v>
      </c>
    </row>
    <row r="189" spans="1:5" x14ac:dyDescent="0.2">
      <c r="A189" t="s">
        <v>275</v>
      </c>
    </row>
    <row r="190" spans="1:5" x14ac:dyDescent="0.2">
      <c r="A190" t="s">
        <v>276</v>
      </c>
    </row>
    <row r="194" spans="1:13" x14ac:dyDescent="0.2">
      <c r="A194" t="s">
        <v>226</v>
      </c>
      <c r="D194" t="s">
        <v>227</v>
      </c>
    </row>
    <row r="195" spans="1:13" x14ac:dyDescent="0.2">
      <c r="B195" t="s">
        <v>228</v>
      </c>
      <c r="D195" t="s">
        <v>542</v>
      </c>
      <c r="E195" t="s">
        <v>170</v>
      </c>
      <c r="F195" t="s">
        <v>232</v>
      </c>
      <c r="H195" t="s">
        <v>239</v>
      </c>
      <c r="I195" t="s">
        <v>170</v>
      </c>
    </row>
    <row r="196" spans="1:13" x14ac:dyDescent="0.2">
      <c r="D196" t="s">
        <v>543</v>
      </c>
      <c r="H196" t="s">
        <v>85</v>
      </c>
    </row>
    <row r="197" spans="1:13" x14ac:dyDescent="0.2">
      <c r="A197">
        <v>1973</v>
      </c>
      <c r="D197">
        <v>83.4</v>
      </c>
      <c r="H197">
        <v>266</v>
      </c>
      <c r="M197" t="s">
        <v>544</v>
      </c>
    </row>
    <row r="198" spans="1:13" x14ac:dyDescent="0.2">
      <c r="A198">
        <v>1976</v>
      </c>
      <c r="D198">
        <f>(75+84.5)/2</f>
        <v>79.75</v>
      </c>
      <c r="H198">
        <f>(336+307)/2</f>
        <v>321.5</v>
      </c>
    </row>
    <row r="199" spans="1:13" x14ac:dyDescent="0.2">
      <c r="A199">
        <v>1977</v>
      </c>
      <c r="D199">
        <v>76</v>
      </c>
      <c r="H199">
        <v>555</v>
      </c>
    </row>
    <row r="200" spans="1:13" x14ac:dyDescent="0.2">
      <c r="A200">
        <v>1978.5</v>
      </c>
      <c r="D200">
        <v>92</v>
      </c>
      <c r="H200">
        <v>628</v>
      </c>
    </row>
    <row r="201" spans="1:13" x14ac:dyDescent="0.2">
      <c r="A201">
        <v>1985.5</v>
      </c>
      <c r="D201">
        <v>72</v>
      </c>
      <c r="H201">
        <v>756</v>
      </c>
    </row>
    <row r="202" spans="1:13" x14ac:dyDescent="0.2">
      <c r="A202">
        <v>1985</v>
      </c>
      <c r="B202">
        <v>72.7</v>
      </c>
      <c r="F202">
        <v>202</v>
      </c>
    </row>
    <row r="203" spans="1:13" x14ac:dyDescent="0.2">
      <c r="A203">
        <v>1986</v>
      </c>
      <c r="B203">
        <v>66.069999999999993</v>
      </c>
      <c r="C203" t="s">
        <v>170</v>
      </c>
      <c r="F203">
        <v>185.8</v>
      </c>
      <c r="G203" t="s">
        <v>170</v>
      </c>
    </row>
    <row r="204" spans="1:13" x14ac:dyDescent="0.2">
      <c r="A204">
        <v>1987</v>
      </c>
      <c r="B204">
        <v>48.9</v>
      </c>
      <c r="C204">
        <v>62.6</v>
      </c>
      <c r="F204">
        <v>209.6</v>
      </c>
      <c r="G204">
        <v>199</v>
      </c>
    </row>
    <row r="205" spans="1:13" x14ac:dyDescent="0.2">
      <c r="A205">
        <v>1988</v>
      </c>
      <c r="B205">
        <v>35.700000000000003</v>
      </c>
      <c r="F205">
        <v>216.6</v>
      </c>
    </row>
    <row r="206" spans="1:13" x14ac:dyDescent="0.2">
      <c r="A206">
        <v>1989</v>
      </c>
      <c r="B206">
        <v>30.02</v>
      </c>
      <c r="H206">
        <v>359</v>
      </c>
    </row>
    <row r="207" spans="1:13" x14ac:dyDescent="0.2">
      <c r="A207">
        <v>90</v>
      </c>
      <c r="B207">
        <v>25.66</v>
      </c>
      <c r="H207">
        <v>425</v>
      </c>
    </row>
    <row r="208" spans="1:13" x14ac:dyDescent="0.2">
      <c r="A208">
        <v>91</v>
      </c>
      <c r="B208">
        <v>16.739999999999998</v>
      </c>
      <c r="H208">
        <v>564</v>
      </c>
    </row>
    <row r="209" spans="1:8" x14ac:dyDescent="0.2">
      <c r="A209">
        <v>92</v>
      </c>
      <c r="B209">
        <v>12.77</v>
      </c>
      <c r="H209">
        <v>458</v>
      </c>
    </row>
    <row r="210" spans="1:8" x14ac:dyDescent="0.2">
      <c r="A210">
        <v>93</v>
      </c>
      <c r="B210">
        <v>11.55</v>
      </c>
      <c r="H210">
        <v>426</v>
      </c>
    </row>
    <row r="211" spans="1:8" x14ac:dyDescent="0.2">
      <c r="A211">
        <v>94</v>
      </c>
      <c r="B211">
        <v>12.66</v>
      </c>
      <c r="H211">
        <v>516</v>
      </c>
    </row>
    <row r="212" spans="1:8" x14ac:dyDescent="0.2">
      <c r="A212">
        <v>95</v>
      </c>
      <c r="B212">
        <v>8.3000000000000007</v>
      </c>
      <c r="H212">
        <v>374</v>
      </c>
    </row>
    <row r="213" spans="1:8" x14ac:dyDescent="0.2">
      <c r="A213">
        <v>96</v>
      </c>
      <c r="B213">
        <v>5.52</v>
      </c>
      <c r="H213">
        <v>173</v>
      </c>
    </row>
    <row r="214" spans="1:8" x14ac:dyDescent="0.2">
      <c r="A214">
        <v>97</v>
      </c>
      <c r="B214">
        <v>5.68</v>
      </c>
      <c r="H214">
        <v>176</v>
      </c>
    </row>
    <row r="215" spans="1:8" x14ac:dyDescent="0.2">
      <c r="A215">
        <v>98</v>
      </c>
      <c r="B215">
        <v>6.03</v>
      </c>
      <c r="H215">
        <v>485</v>
      </c>
    </row>
    <row r="216" spans="1:8" x14ac:dyDescent="0.2">
      <c r="A216">
        <v>99</v>
      </c>
    </row>
    <row r="217" spans="1:8" x14ac:dyDescent="0.2">
      <c r="A217">
        <v>2000</v>
      </c>
    </row>
    <row r="218" spans="1:8" x14ac:dyDescent="0.2">
      <c r="A218">
        <v>2002</v>
      </c>
    </row>
    <row r="219" spans="1:8" x14ac:dyDescent="0.2">
      <c r="A219">
        <v>3</v>
      </c>
    </row>
    <row r="220" spans="1:8" x14ac:dyDescent="0.2">
      <c r="A220">
        <v>4</v>
      </c>
    </row>
    <row r="221" spans="1:8" x14ac:dyDescent="0.2">
      <c r="A221">
        <v>5</v>
      </c>
    </row>
    <row r="222" spans="1:8" x14ac:dyDescent="0.2">
      <c r="A222">
        <v>6</v>
      </c>
    </row>
    <row r="223" spans="1:8" x14ac:dyDescent="0.2">
      <c r="A223">
        <v>7</v>
      </c>
    </row>
    <row r="224" spans="1:8" x14ac:dyDescent="0.2">
      <c r="A224">
        <v>8</v>
      </c>
    </row>
    <row r="225" spans="1:7" x14ac:dyDescent="0.2">
      <c r="A225">
        <v>9</v>
      </c>
    </row>
    <row r="226" spans="1:7" x14ac:dyDescent="0.2">
      <c r="A226">
        <v>10</v>
      </c>
    </row>
    <row r="227" spans="1:7" x14ac:dyDescent="0.2">
      <c r="A227">
        <v>11</v>
      </c>
    </row>
    <row r="228" spans="1:7" x14ac:dyDescent="0.2">
      <c r="A228">
        <v>12</v>
      </c>
    </row>
    <row r="229" spans="1:7" x14ac:dyDescent="0.2">
      <c r="A229">
        <v>13</v>
      </c>
    </row>
    <row r="230" spans="1:7" x14ac:dyDescent="0.2">
      <c r="A230">
        <v>14</v>
      </c>
    </row>
    <row r="231" spans="1:7" x14ac:dyDescent="0.2">
      <c r="A231">
        <v>15</v>
      </c>
      <c r="B231">
        <v>2.2360000000000002</v>
      </c>
    </row>
    <row r="232" spans="1:7" x14ac:dyDescent="0.2">
      <c r="A232">
        <v>16</v>
      </c>
      <c r="B232">
        <v>1.9119999999999999</v>
      </c>
    </row>
    <row r="233" spans="1:7" x14ac:dyDescent="0.2">
      <c r="A233">
        <v>17</v>
      </c>
      <c r="B233">
        <v>1.8009999999999999</v>
      </c>
      <c r="G233" t="s">
        <v>240</v>
      </c>
    </row>
    <row r="234" spans="1:7" x14ac:dyDescent="0.2">
      <c r="A234">
        <v>18</v>
      </c>
      <c r="B234">
        <v>2.516</v>
      </c>
      <c r="F234">
        <v>48.159000000000006</v>
      </c>
    </row>
    <row r="235" spans="1:7" x14ac:dyDescent="0.2">
      <c r="A235">
        <v>19</v>
      </c>
      <c r="B235">
        <v>5.9119999999999999</v>
      </c>
      <c r="F235">
        <v>36.813999999999993</v>
      </c>
    </row>
    <row r="236" spans="1:7" x14ac:dyDescent="0.2">
      <c r="A236">
        <v>2020</v>
      </c>
      <c r="B236">
        <v>1.4689999999999999</v>
      </c>
      <c r="F236">
        <v>27.788</v>
      </c>
    </row>
    <row r="237" spans="1:7" x14ac:dyDescent="0.2">
      <c r="A237">
        <v>1</v>
      </c>
      <c r="B237">
        <v>1.4319999999999999</v>
      </c>
      <c r="F237">
        <v>21.161999999999999</v>
      </c>
    </row>
    <row r="238" spans="1:7" x14ac:dyDescent="0.2">
      <c r="A238">
        <v>2</v>
      </c>
      <c r="B238">
        <v>1.468</v>
      </c>
      <c r="C238" t="s">
        <v>170</v>
      </c>
      <c r="F238">
        <v>21.643999999999998</v>
      </c>
      <c r="G238" t="s">
        <v>170</v>
      </c>
    </row>
    <row r="239" spans="1:7" x14ac:dyDescent="0.2">
      <c r="A239">
        <v>3</v>
      </c>
      <c r="B239">
        <v>1.488</v>
      </c>
      <c r="C239">
        <v>1.464</v>
      </c>
      <c r="F239">
        <v>22.712</v>
      </c>
      <c r="G239">
        <f>AVERAGE(F236:F239)</f>
        <v>23.326499999999999</v>
      </c>
    </row>
    <row r="240" spans="1:7" x14ac:dyDescent="0.2">
      <c r="A240">
        <v>4</v>
      </c>
    </row>
    <row r="245" spans="1:7" x14ac:dyDescent="0.2">
      <c r="A245" t="s">
        <v>237</v>
      </c>
    </row>
    <row r="246" spans="1:7" x14ac:dyDescent="0.2">
      <c r="A246" t="s">
        <v>238</v>
      </c>
    </row>
    <row r="247" spans="1:7" x14ac:dyDescent="0.2">
      <c r="A247" t="s">
        <v>241</v>
      </c>
    </row>
    <row r="248" spans="1:7" x14ac:dyDescent="0.2">
      <c r="A248" t="s">
        <v>243</v>
      </c>
      <c r="C248">
        <f>C239/62.6</f>
        <v>2.338658146964856E-2</v>
      </c>
      <c r="G248">
        <f>G239/G204</f>
        <v>0.11721859296482412</v>
      </c>
    </row>
    <row r="249" spans="1:7" x14ac:dyDescent="0.2">
      <c r="A249" t="s">
        <v>244</v>
      </c>
      <c r="C249" s="4">
        <v>2.3E-2</v>
      </c>
      <c r="G249" s="4">
        <v>0.11700000000000001</v>
      </c>
    </row>
    <row r="251" spans="1:7" x14ac:dyDescent="0.2">
      <c r="A251" t="s">
        <v>246</v>
      </c>
    </row>
    <row r="252" spans="1:7" x14ac:dyDescent="0.2">
      <c r="A252" t="s">
        <v>165</v>
      </c>
      <c r="B252">
        <v>0.41</v>
      </c>
    </row>
    <row r="253" spans="1:7" x14ac:dyDescent="0.2">
      <c r="A253" t="s">
        <v>247</v>
      </c>
      <c r="B253">
        <v>0.35</v>
      </c>
    </row>
    <row r="254" spans="1:7" x14ac:dyDescent="0.2">
      <c r="A254" t="s">
        <v>248</v>
      </c>
    </row>
    <row r="255" spans="1:7" x14ac:dyDescent="0.2">
      <c r="A255" t="s">
        <v>231</v>
      </c>
      <c r="B255" t="s">
        <v>250</v>
      </c>
      <c r="C255" t="s">
        <v>249</v>
      </c>
      <c r="D255">
        <v>2.2242499999999996</v>
      </c>
    </row>
    <row r="256" spans="1:7" x14ac:dyDescent="0.2">
      <c r="C256" t="s">
        <v>168</v>
      </c>
    </row>
    <row r="258" spans="1:10" x14ac:dyDescent="0.2">
      <c r="A258" t="s">
        <v>251</v>
      </c>
      <c r="D258" t="s">
        <v>256</v>
      </c>
      <c r="I258" t="s">
        <v>545</v>
      </c>
      <c r="J258">
        <v>247</v>
      </c>
    </row>
    <row r="259" spans="1:10" x14ac:dyDescent="0.2">
      <c r="A259" t="s">
        <v>252</v>
      </c>
    </row>
    <row r="260" spans="1:10" x14ac:dyDescent="0.2">
      <c r="A260" t="s">
        <v>253</v>
      </c>
      <c r="D260">
        <v>6.84</v>
      </c>
      <c r="I260">
        <v>23.3</v>
      </c>
      <c r="J260">
        <f>I260/J258</f>
        <v>9.4331983805668013E-2</v>
      </c>
    </row>
    <row r="262" spans="1:10" x14ac:dyDescent="0.2">
      <c r="A262" t="s">
        <v>254</v>
      </c>
    </row>
    <row r="263" spans="1:10" x14ac:dyDescent="0.2">
      <c r="A263" t="s">
        <v>255</v>
      </c>
      <c r="D263">
        <v>2.2242500000000001</v>
      </c>
    </row>
    <row r="264" spans="1:10" x14ac:dyDescent="0.2">
      <c r="A264" t="s">
        <v>248</v>
      </c>
      <c r="D264" s="2">
        <v>32.518274853801174</v>
      </c>
    </row>
    <row r="268" spans="1:10" x14ac:dyDescent="0.2">
      <c r="A268" s="2" t="s">
        <v>554</v>
      </c>
      <c r="B268" s="2"/>
      <c r="C268" s="2"/>
      <c r="D268" s="2"/>
      <c r="E268" s="2" t="s">
        <v>546</v>
      </c>
      <c r="F268" s="2"/>
      <c r="G268" s="2" t="s">
        <v>253</v>
      </c>
      <c r="H268" s="2"/>
    </row>
    <row r="269" spans="1:10" x14ac:dyDescent="0.2">
      <c r="A269" s="2"/>
      <c r="B269" s="2"/>
      <c r="C269" s="2"/>
      <c r="D269" s="2"/>
      <c r="E269" s="2" t="s">
        <v>50</v>
      </c>
      <c r="F269" s="2" t="s">
        <v>52</v>
      </c>
      <c r="G269" s="2" t="s">
        <v>50</v>
      </c>
      <c r="H269" s="2" t="s">
        <v>52</v>
      </c>
    </row>
    <row r="270" spans="1:10" x14ac:dyDescent="0.2">
      <c r="A270" s="2"/>
      <c r="B270" s="2"/>
      <c r="C270" s="2"/>
      <c r="D270" s="2"/>
      <c r="E270" s="2" t="s">
        <v>549</v>
      </c>
      <c r="F270" s="2" t="s">
        <v>549</v>
      </c>
      <c r="G270" s="2" t="s">
        <v>549</v>
      </c>
      <c r="H270" s="2" t="s">
        <v>549</v>
      </c>
    </row>
    <row r="271" spans="1:10" x14ac:dyDescent="0.2">
      <c r="A271" s="2"/>
      <c r="B271" s="2"/>
      <c r="C271" s="2"/>
      <c r="D271" s="11"/>
      <c r="E271" s="11"/>
      <c r="F271" s="11"/>
      <c r="G271" s="2"/>
      <c r="H271" s="2"/>
    </row>
    <row r="272" spans="1:10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 t="s">
        <v>547</v>
      </c>
      <c r="B273" s="2"/>
      <c r="C273" s="2"/>
      <c r="D273" s="2"/>
      <c r="E273" s="2">
        <v>72</v>
      </c>
      <c r="F273" s="2">
        <v>449</v>
      </c>
      <c r="G273" s="2">
        <v>6.84</v>
      </c>
      <c r="H273" s="2">
        <v>247</v>
      </c>
    </row>
    <row r="274" spans="1:8" x14ac:dyDescent="0.2">
      <c r="A274" s="2" t="s">
        <v>548</v>
      </c>
      <c r="B274" s="2"/>
      <c r="C274" s="2"/>
      <c r="D274" s="2"/>
      <c r="E274" s="2"/>
      <c r="F274" s="2"/>
      <c r="G274" s="2">
        <f>G273*100/E273</f>
        <v>9.5</v>
      </c>
      <c r="H274" s="2">
        <v>55</v>
      </c>
    </row>
    <row r="275" spans="1:8" x14ac:dyDescent="0.2">
      <c r="A275" s="2"/>
      <c r="B275" s="2"/>
      <c r="C275" s="2"/>
      <c r="D275" s="2"/>
      <c r="E275" s="2"/>
      <c r="F275" s="2"/>
      <c r="G275" s="2"/>
    </row>
    <row r="276" spans="1:8" x14ac:dyDescent="0.2">
      <c r="A276" s="2" t="s">
        <v>550</v>
      </c>
      <c r="B276" s="2"/>
      <c r="C276" s="2"/>
      <c r="D276" s="2"/>
      <c r="E276" s="2">
        <v>62.6</v>
      </c>
      <c r="F276" s="2">
        <v>199</v>
      </c>
      <c r="G276" s="2">
        <v>2.2200000000000002</v>
      </c>
      <c r="H276" s="2">
        <v>23.3</v>
      </c>
    </row>
    <row r="277" spans="1:8" x14ac:dyDescent="0.2">
      <c r="A277" s="2" t="s">
        <v>551</v>
      </c>
      <c r="B277" s="2"/>
      <c r="C277" s="2"/>
      <c r="D277" s="11"/>
      <c r="E277" s="11"/>
      <c r="F277" s="11"/>
      <c r="G277" s="2"/>
      <c r="H277" s="2"/>
    </row>
    <row r="278" spans="1:8" x14ac:dyDescent="0.2">
      <c r="A278" s="2" t="s">
        <v>552</v>
      </c>
      <c r="E278" s="2">
        <v>87</v>
      </c>
      <c r="F278" s="2">
        <v>44</v>
      </c>
      <c r="G278" s="2">
        <v>32</v>
      </c>
      <c r="H278" s="2">
        <v>9</v>
      </c>
    </row>
    <row r="279" spans="1:8" x14ac:dyDescent="0.2">
      <c r="A279" s="2" t="s">
        <v>553</v>
      </c>
      <c r="G279" s="2">
        <v>3.5</v>
      </c>
      <c r="H279" s="2">
        <v>11.7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B149"/>
  <sheetViews>
    <sheetView topLeftCell="A3" workbookViewId="0">
      <selection activeCell="N23" sqref="N23"/>
    </sheetView>
  </sheetViews>
  <sheetFormatPr baseColWidth="10" defaultColWidth="8.83203125" defaultRowHeight="15" x14ac:dyDescent="0.2"/>
  <cols>
    <col min="8" max="8" width="11.83203125" bestFit="1" customWidth="1"/>
  </cols>
  <sheetData>
    <row r="3" spans="1:28" x14ac:dyDescent="0.2">
      <c r="A3" s="2" t="s">
        <v>345</v>
      </c>
      <c r="B3" s="2"/>
      <c r="C3">
        <v>1976</v>
      </c>
      <c r="D3">
        <v>1988</v>
      </c>
      <c r="E3">
        <v>1993</v>
      </c>
      <c r="F3">
        <v>1997</v>
      </c>
      <c r="G3">
        <v>2002</v>
      </c>
      <c r="H3">
        <v>2009</v>
      </c>
      <c r="I3">
        <v>2014</v>
      </c>
      <c r="J3">
        <v>2018</v>
      </c>
    </row>
    <row r="4" spans="1:28" x14ac:dyDescent="0.2">
      <c r="A4" s="2" t="s">
        <v>183</v>
      </c>
      <c r="B4" t="s">
        <v>95</v>
      </c>
      <c r="C4">
        <v>55.18</v>
      </c>
      <c r="D4">
        <v>42.98</v>
      </c>
      <c r="E4">
        <v>33</v>
      </c>
      <c r="F4">
        <v>44.908999999999999</v>
      </c>
      <c r="G4">
        <v>47.958371999999997</v>
      </c>
      <c r="H4">
        <v>30.887040800000005</v>
      </c>
      <c r="I4">
        <v>33.130000000000003</v>
      </c>
      <c r="J4">
        <v>35.472580000000008</v>
      </c>
      <c r="P4">
        <f>50/31.6</f>
        <v>1.5822784810126582</v>
      </c>
      <c r="Q4">
        <f>P4/3.1</f>
        <v>0.51041241322988973</v>
      </c>
    </row>
    <row r="5" spans="1:28" x14ac:dyDescent="0.2">
      <c r="B5" t="s">
        <v>205</v>
      </c>
      <c r="C5">
        <v>161.19999999999999</v>
      </c>
      <c r="D5">
        <v>140.30062933333335</v>
      </c>
      <c r="E5">
        <v>134.75739419999999</v>
      </c>
      <c r="F5">
        <v>179.66639419999998</v>
      </c>
      <c r="G5">
        <v>175.753512</v>
      </c>
      <c r="H5">
        <v>111.11485880000001</v>
      </c>
      <c r="I5">
        <v>107.48</v>
      </c>
      <c r="J5">
        <v>125.28372999999999</v>
      </c>
    </row>
    <row r="6" spans="1:28" x14ac:dyDescent="0.2">
      <c r="B6" t="s">
        <v>104</v>
      </c>
      <c r="C6">
        <v>307</v>
      </c>
      <c r="D6">
        <v>338</v>
      </c>
      <c r="E6">
        <v>279.59058270000003</v>
      </c>
      <c r="F6">
        <v>459.25697690000004</v>
      </c>
      <c r="G6">
        <v>350.42251199999993</v>
      </c>
      <c r="H6">
        <v>275.79470380000009</v>
      </c>
      <c r="I6">
        <v>275.02499999999998</v>
      </c>
      <c r="J6">
        <v>334.84308000000004</v>
      </c>
    </row>
    <row r="7" spans="1:28" x14ac:dyDescent="0.2">
      <c r="B7" t="s">
        <v>342</v>
      </c>
      <c r="C7">
        <v>531.29999999999995</v>
      </c>
      <c r="D7">
        <v>730.02328000000011</v>
      </c>
      <c r="E7">
        <v>651.60948270000006</v>
      </c>
      <c r="F7">
        <v>1110.8664596000001</v>
      </c>
      <c r="G7">
        <v>748.57398000000001</v>
      </c>
      <c r="H7">
        <v>609.07358379999994</v>
      </c>
      <c r="I7">
        <v>598.65</v>
      </c>
      <c r="J7">
        <v>780.69222000000013</v>
      </c>
    </row>
    <row r="8" spans="1:28" x14ac:dyDescent="0.2">
      <c r="B8" t="s">
        <v>301</v>
      </c>
      <c r="D8">
        <v>1516.340826666667</v>
      </c>
      <c r="E8">
        <v>1608.2863687000004</v>
      </c>
      <c r="F8">
        <v>2719.1528283000007</v>
      </c>
      <c r="G8">
        <v>1498.7512650000001</v>
      </c>
      <c r="H8">
        <v>1205.5430178000001</v>
      </c>
      <c r="I8">
        <v>1288.5</v>
      </c>
      <c r="J8">
        <v>1715.6493200000002</v>
      </c>
    </row>
    <row r="9" spans="1:28" x14ac:dyDescent="0.2">
      <c r="A9" t="s">
        <v>355</v>
      </c>
      <c r="I9" t="s">
        <v>356</v>
      </c>
    </row>
    <row r="10" spans="1:28" x14ac:dyDescent="0.2">
      <c r="I10" t="s">
        <v>360</v>
      </c>
    </row>
    <row r="11" spans="1:28" x14ac:dyDescent="0.2">
      <c r="A11">
        <v>1993</v>
      </c>
      <c r="B11">
        <v>1997</v>
      </c>
      <c r="C11">
        <v>2002</v>
      </c>
      <c r="D11">
        <v>2009</v>
      </c>
      <c r="E11">
        <v>2014</v>
      </c>
      <c r="F11">
        <v>2018</v>
      </c>
      <c r="G11" s="2" t="s">
        <v>313</v>
      </c>
      <c r="H11" s="2"/>
      <c r="J11" t="s">
        <v>458</v>
      </c>
      <c r="K11" t="s">
        <v>459</v>
      </c>
      <c r="M11" t="s">
        <v>458</v>
      </c>
      <c r="N11" t="s">
        <v>459</v>
      </c>
      <c r="S11" t="s">
        <v>513</v>
      </c>
      <c r="V11" t="s">
        <v>483</v>
      </c>
      <c r="Y11" s="2" t="s">
        <v>520</v>
      </c>
      <c r="Z11" s="2"/>
      <c r="AA11" t="s">
        <v>494</v>
      </c>
    </row>
    <row r="12" spans="1:28" x14ac:dyDescent="0.2">
      <c r="A12" t="s">
        <v>313</v>
      </c>
      <c r="B12" t="s">
        <v>313</v>
      </c>
      <c r="C12" t="s">
        <v>313</v>
      </c>
      <c r="F12" t="s">
        <v>313</v>
      </c>
      <c r="G12" s="2" t="s">
        <v>3</v>
      </c>
      <c r="H12" s="2" t="s">
        <v>504</v>
      </c>
      <c r="J12">
        <v>1993</v>
      </c>
      <c r="K12">
        <v>1997</v>
      </c>
      <c r="L12">
        <v>2002</v>
      </c>
      <c r="M12">
        <v>1993</v>
      </c>
      <c r="N12">
        <v>1997</v>
      </c>
      <c r="O12">
        <v>2002</v>
      </c>
      <c r="P12">
        <v>2009</v>
      </c>
      <c r="Q12">
        <v>2014</v>
      </c>
      <c r="R12">
        <v>2018</v>
      </c>
      <c r="S12" s="2" t="s">
        <v>3</v>
      </c>
      <c r="T12" s="2" t="s">
        <v>504</v>
      </c>
      <c r="V12">
        <v>1993</v>
      </c>
      <c r="W12">
        <v>1997</v>
      </c>
      <c r="Y12" s="2" t="s">
        <v>3</v>
      </c>
      <c r="Z12" s="2"/>
      <c r="AA12" t="s">
        <v>495</v>
      </c>
    </row>
    <row r="13" spans="1:28" x14ac:dyDescent="0.2">
      <c r="A13">
        <v>10.87071240105541</v>
      </c>
      <c r="B13">
        <v>4.0396039603960388</v>
      </c>
      <c r="C13">
        <f>13.7/1.26</f>
        <v>10.873015873015872</v>
      </c>
      <c r="D13">
        <f>8.8/1.44</f>
        <v>6.1111111111111116</v>
      </c>
      <c r="E13">
        <f>9.8/1.53</f>
        <v>6.405228758169935</v>
      </c>
      <c r="F13">
        <f>8.8/1.7</f>
        <v>5.1764705882352944</v>
      </c>
      <c r="G13" s="2">
        <f>AVERAGE(A13:F13)</f>
        <v>7.2460237819972777</v>
      </c>
      <c r="H13" s="2" t="s">
        <v>507</v>
      </c>
      <c r="J13">
        <v>10.3</v>
      </c>
      <c r="K13">
        <v>6.8</v>
      </c>
      <c r="L13" t="s">
        <v>460</v>
      </c>
      <c r="M13">
        <v>10.3</v>
      </c>
      <c r="N13">
        <v>6.8</v>
      </c>
      <c r="O13" t="s">
        <v>460</v>
      </c>
      <c r="P13" t="s">
        <v>466</v>
      </c>
      <c r="Q13" t="s">
        <v>473</v>
      </c>
      <c r="R13" t="s">
        <v>478</v>
      </c>
      <c r="S13" s="2">
        <f>(M13+N13+13.7+8.8+9.8+8.8)/6</f>
        <v>9.7000000000000011</v>
      </c>
      <c r="T13" s="2" t="s">
        <v>500</v>
      </c>
      <c r="W13" t="s">
        <v>484</v>
      </c>
      <c r="X13" t="s">
        <v>488</v>
      </c>
      <c r="Y13" s="2">
        <f>(152+177)/2</f>
        <v>164.5</v>
      </c>
      <c r="Z13" s="2" t="s">
        <v>514</v>
      </c>
      <c r="AA13">
        <f>152*2.5/10</f>
        <v>38</v>
      </c>
      <c r="AB13">
        <f>177*0.25</f>
        <v>44.25</v>
      </c>
    </row>
    <row r="14" spans="1:28" x14ac:dyDescent="0.2">
      <c r="A14">
        <v>17.073170731707318</v>
      </c>
      <c r="B14">
        <v>3.6568965517241381</v>
      </c>
      <c r="C14">
        <f>13.3/0.93</f>
        <v>14.301075268817204</v>
      </c>
      <c r="D14">
        <f>8.9/1.366</f>
        <v>6.5153733528550513</v>
      </c>
      <c r="E14">
        <f>10.7/1.55</f>
        <v>6.9032258064516121</v>
      </c>
      <c r="F14">
        <f>11.9/1.559</f>
        <v>7.6330981398332272</v>
      </c>
      <c r="G14" s="2">
        <f t="shared" ref="G14:G18" si="0">AVERAGE(A14:F14)</f>
        <v>9.3471399752314248</v>
      </c>
      <c r="H14" s="2" t="s">
        <v>508</v>
      </c>
      <c r="J14">
        <v>9.7999999999999989</v>
      </c>
      <c r="K14">
        <v>7.07</v>
      </c>
      <c r="L14" t="s">
        <v>461</v>
      </c>
      <c r="M14">
        <v>9.7999999999999989</v>
      </c>
      <c r="N14">
        <v>7.07</v>
      </c>
      <c r="O14" t="s">
        <v>461</v>
      </c>
      <c r="P14" t="s">
        <v>467</v>
      </c>
      <c r="Q14" t="s">
        <v>472</v>
      </c>
      <c r="R14" t="s">
        <v>479</v>
      </c>
      <c r="S14" s="2">
        <v>10.3</v>
      </c>
      <c r="T14" s="2" t="s">
        <v>502</v>
      </c>
      <c r="W14" t="s">
        <v>485</v>
      </c>
      <c r="X14" t="s">
        <v>489</v>
      </c>
      <c r="Y14" s="2">
        <f>(157+136)/2</f>
        <v>146.5</v>
      </c>
      <c r="Z14" s="2" t="s">
        <v>515</v>
      </c>
      <c r="AA14">
        <f>157*0.25</f>
        <v>39.25</v>
      </c>
      <c r="AB14">
        <f>136*0.25</f>
        <v>34</v>
      </c>
    </row>
    <row r="15" spans="1:28" x14ac:dyDescent="0.2">
      <c r="A15">
        <v>21.756021756021756</v>
      </c>
      <c r="B15">
        <v>3.8687150837988828</v>
      </c>
      <c r="C15">
        <f>14.4/0.66</f>
        <v>21.818181818181817</v>
      </c>
      <c r="D15">
        <f>8.6/1.19</f>
        <v>7.2268907563025211</v>
      </c>
      <c r="E15">
        <f>11/1.8</f>
        <v>6.1111111111111107</v>
      </c>
      <c r="F15">
        <f>11.9/1.3855</f>
        <v>8.5889570552147241</v>
      </c>
      <c r="G15" s="2">
        <f t="shared" si="0"/>
        <v>11.561646263438469</v>
      </c>
      <c r="H15" s="2" t="s">
        <v>509</v>
      </c>
      <c r="J15">
        <v>13.999999999999998</v>
      </c>
      <c r="K15">
        <v>6.9250000000000007</v>
      </c>
      <c r="L15" t="s">
        <v>462</v>
      </c>
      <c r="M15">
        <v>13.999999999999998</v>
      </c>
      <c r="N15">
        <v>6.9250000000000007</v>
      </c>
      <c r="O15" t="s">
        <v>462</v>
      </c>
      <c r="P15" t="s">
        <v>468</v>
      </c>
      <c r="Q15" t="s">
        <v>474</v>
      </c>
      <c r="R15" t="s">
        <v>479</v>
      </c>
      <c r="S15" s="2">
        <v>11.1</v>
      </c>
      <c r="T15" s="2" t="s">
        <v>503</v>
      </c>
      <c r="W15">
        <v>150</v>
      </c>
      <c r="X15" t="s">
        <v>490</v>
      </c>
      <c r="Y15" s="2">
        <f>(150+113)/2</f>
        <v>131.5</v>
      </c>
      <c r="Z15" s="2" t="s">
        <v>516</v>
      </c>
      <c r="AA15">
        <f>150*0.25</f>
        <v>37.5</v>
      </c>
      <c r="AB15">
        <f>113*0.25</f>
        <v>28.25</v>
      </c>
    </row>
    <row r="16" spans="1:28" x14ac:dyDescent="0.2">
      <c r="A16">
        <v>19.621583742116329</v>
      </c>
      <c r="B16">
        <v>5.9274193548387091</v>
      </c>
      <c r="C16">
        <f>15.8/0.64</f>
        <v>24.6875</v>
      </c>
      <c r="D16">
        <f>10.1/0.94</f>
        <v>10.74468085106383</v>
      </c>
      <c r="E16">
        <f>11.1/1.115</f>
        <v>9.9551569506726452</v>
      </c>
      <c r="F16">
        <f>11.5/1.061</f>
        <v>10.838831291234685</v>
      </c>
      <c r="G16" s="2">
        <f t="shared" si="0"/>
        <v>13.6291953649877</v>
      </c>
      <c r="H16" s="2" t="s">
        <v>510</v>
      </c>
      <c r="J16">
        <v>14.000000000000002</v>
      </c>
      <c r="K16">
        <v>9.8000000000000007</v>
      </c>
      <c r="L16" t="s">
        <v>463</v>
      </c>
      <c r="M16">
        <v>14.000000000000002</v>
      </c>
      <c r="N16">
        <v>9.8000000000000007</v>
      </c>
      <c r="O16" t="s">
        <v>463</v>
      </c>
      <c r="P16" t="s">
        <v>469</v>
      </c>
      <c r="Q16" t="s">
        <v>475</v>
      </c>
      <c r="R16" t="s">
        <v>481</v>
      </c>
      <c r="S16" s="2">
        <v>12.1</v>
      </c>
      <c r="T16" s="2" t="s">
        <v>501</v>
      </c>
      <c r="W16">
        <v>180</v>
      </c>
      <c r="X16" t="s">
        <v>491</v>
      </c>
      <c r="Y16" s="2">
        <f>(132+180)/2</f>
        <v>156</v>
      </c>
      <c r="Z16" s="2" t="s">
        <v>517</v>
      </c>
      <c r="AA16">
        <f>180*0.25</f>
        <v>45</v>
      </c>
      <c r="AB16">
        <f>132*0.25</f>
        <v>33</v>
      </c>
    </row>
    <row r="17" spans="1:28" x14ac:dyDescent="0.2">
      <c r="A17">
        <v>15.739179314221474</v>
      </c>
      <c r="B17">
        <v>10.293453724604964</v>
      </c>
      <c r="C17">
        <f>13.2/0.58</f>
        <v>22.758620689655174</v>
      </c>
      <c r="D17">
        <f>9.5/0.6445</f>
        <v>14.74010861132661</v>
      </c>
      <c r="E17">
        <f>16.7/0.795</f>
        <v>21.0062893081761</v>
      </c>
      <c r="F17">
        <f>13.5/1</f>
        <v>13.5</v>
      </c>
      <c r="G17" s="2">
        <f t="shared" si="0"/>
        <v>16.339608607997388</v>
      </c>
      <c r="H17" s="2" t="s">
        <v>511</v>
      </c>
      <c r="J17">
        <v>14</v>
      </c>
      <c r="K17">
        <v>15.199999999999998</v>
      </c>
      <c r="L17" t="s">
        <v>464</v>
      </c>
      <c r="M17">
        <v>14</v>
      </c>
      <c r="N17">
        <v>15.199999999999998</v>
      </c>
      <c r="O17" t="s">
        <v>464</v>
      </c>
      <c r="P17" t="s">
        <v>470</v>
      </c>
      <c r="Q17" t="s">
        <v>476</v>
      </c>
      <c r="R17" t="s">
        <v>480</v>
      </c>
      <c r="S17" s="2">
        <v>13.5</v>
      </c>
      <c r="T17" s="2" t="s">
        <v>505</v>
      </c>
      <c r="W17" t="s">
        <v>486</v>
      </c>
      <c r="X17" t="s">
        <v>492</v>
      </c>
      <c r="Y17" s="2">
        <f>(111+156)/2</f>
        <v>133.5</v>
      </c>
      <c r="Z17" s="2" t="s">
        <v>518</v>
      </c>
      <c r="AA17">
        <f>156*0.25</f>
        <v>39</v>
      </c>
      <c r="AB17">
        <f>111*0.25</f>
        <v>27.75</v>
      </c>
    </row>
    <row r="18" spans="1:28" x14ac:dyDescent="0.2">
      <c r="A18">
        <v>15.019115237575097</v>
      </c>
      <c r="B18">
        <v>16.719367588932808</v>
      </c>
      <c r="C18">
        <f>13.8/0.54</f>
        <v>25.555555555555554</v>
      </c>
      <c r="D18">
        <f>11.6/0.4735</f>
        <v>24.49841605068638</v>
      </c>
      <c r="E18">
        <f>14/0.74</f>
        <v>18.918918918918919</v>
      </c>
      <c r="F18">
        <f>17.7/0.7277</f>
        <v>24.323210114057989</v>
      </c>
      <c r="G18" s="2">
        <f t="shared" si="0"/>
        <v>20.839097244287792</v>
      </c>
      <c r="H18" s="2" t="s">
        <v>512</v>
      </c>
      <c r="J18">
        <v>13.75</v>
      </c>
      <c r="K18">
        <v>14.100000000000001</v>
      </c>
      <c r="L18" t="s">
        <v>465</v>
      </c>
      <c r="M18">
        <v>13.75</v>
      </c>
      <c r="N18">
        <v>14.100000000000001</v>
      </c>
      <c r="O18" t="s">
        <v>465</v>
      </c>
      <c r="P18" t="s">
        <v>471</v>
      </c>
      <c r="Q18" t="s">
        <v>477</v>
      </c>
      <c r="R18" t="s">
        <v>482</v>
      </c>
      <c r="S18" s="2">
        <v>14.1</v>
      </c>
      <c r="T18" s="2" t="s">
        <v>506</v>
      </c>
      <c r="W18" t="s">
        <v>487</v>
      </c>
      <c r="X18" t="s">
        <v>493</v>
      </c>
      <c r="Y18" s="2">
        <v>126</v>
      </c>
      <c r="Z18" s="2" t="s">
        <v>519</v>
      </c>
      <c r="AA18">
        <v>32</v>
      </c>
      <c r="AB18">
        <f>125*0.25</f>
        <v>31.25</v>
      </c>
    </row>
    <row r="19" spans="1:28" x14ac:dyDescent="0.2">
      <c r="A19" t="s">
        <v>496</v>
      </c>
    </row>
    <row r="21" spans="1:28" x14ac:dyDescent="0.2">
      <c r="A21" s="2" t="s">
        <v>338</v>
      </c>
      <c r="B21" s="2"/>
      <c r="J21" t="s">
        <v>529</v>
      </c>
      <c r="M21" t="s">
        <v>530</v>
      </c>
    </row>
    <row r="22" spans="1:28" x14ac:dyDescent="0.2">
      <c r="A22" t="s">
        <v>327</v>
      </c>
      <c r="B22">
        <v>1976</v>
      </c>
      <c r="C22">
        <v>1988</v>
      </c>
      <c r="E22">
        <v>1997</v>
      </c>
      <c r="F22">
        <v>2002</v>
      </c>
      <c r="G22">
        <v>2009</v>
      </c>
      <c r="H22">
        <v>2014</v>
      </c>
      <c r="I22">
        <v>2018</v>
      </c>
      <c r="J22" s="2" t="s">
        <v>3</v>
      </c>
      <c r="K22" s="2" t="s">
        <v>86</v>
      </c>
      <c r="L22" t="s">
        <v>412</v>
      </c>
      <c r="M22" t="s">
        <v>3</v>
      </c>
      <c r="N22" t="s">
        <v>504</v>
      </c>
    </row>
    <row r="23" spans="1:28" x14ac:dyDescent="0.2">
      <c r="A23" t="s">
        <v>305</v>
      </c>
      <c r="B23">
        <v>43</v>
      </c>
      <c r="C23">
        <v>42.266666666666673</v>
      </c>
      <c r="E23">
        <v>45</v>
      </c>
      <c r="F23">
        <v>27.7</v>
      </c>
      <c r="G23">
        <v>35.75</v>
      </c>
      <c r="H23">
        <v>35</v>
      </c>
      <c r="I23">
        <v>37.299999999999997</v>
      </c>
      <c r="J23" s="2">
        <f>AVERAGE(B23:I23)</f>
        <v>38.002380952380953</v>
      </c>
      <c r="K23" s="2">
        <f>STDEV(B23:I23)</f>
        <v>5.9560460145119727</v>
      </c>
      <c r="L23">
        <f>K23/J23</f>
        <v>0.15672823294875185</v>
      </c>
      <c r="M23">
        <f>J23*10</f>
        <v>380.02380952380952</v>
      </c>
      <c r="N23">
        <f>K23*10</f>
        <v>59.560460145119727</v>
      </c>
    </row>
    <row r="24" spans="1:28" x14ac:dyDescent="0.2">
      <c r="A24" t="s">
        <v>306</v>
      </c>
      <c r="B24">
        <v>40.799999999999997</v>
      </c>
      <c r="C24">
        <v>39.833333333333336</v>
      </c>
      <c r="E24">
        <v>42</v>
      </c>
      <c r="F24">
        <v>23.7</v>
      </c>
      <c r="G24">
        <v>31.4</v>
      </c>
      <c r="H24">
        <v>33.75</v>
      </c>
      <c r="I24">
        <v>36.700000000000003</v>
      </c>
      <c r="J24" s="2">
        <f t="shared" ref="J24:J28" si="1">AVERAGE(B24:I24)</f>
        <v>35.454761904761902</v>
      </c>
      <c r="K24" s="2">
        <f t="shared" ref="K24:K28" si="2">STDEV(B24:I24)</f>
        <v>6.4505290788295282</v>
      </c>
      <c r="L24">
        <f t="shared" ref="L24:L28" si="3">K24/J24</f>
        <v>0.18193688893347673</v>
      </c>
      <c r="M24">
        <f t="shared" ref="M24:M28" si="4">J24*10</f>
        <v>354.54761904761904</v>
      </c>
      <c r="N24">
        <f t="shared" ref="N24:N28" si="5">K24*10</f>
        <v>64.505290788295284</v>
      </c>
    </row>
    <row r="25" spans="1:28" x14ac:dyDescent="0.2">
      <c r="A25" t="s">
        <v>307</v>
      </c>
      <c r="B25">
        <v>32</v>
      </c>
      <c r="C25">
        <v>36.033333333333339</v>
      </c>
      <c r="E25">
        <v>35.75</v>
      </c>
      <c r="F25">
        <v>16.75</v>
      </c>
      <c r="G25">
        <v>28.35</v>
      </c>
      <c r="H25">
        <v>28.75</v>
      </c>
      <c r="I25">
        <v>34.5</v>
      </c>
      <c r="J25" s="2">
        <f t="shared" si="1"/>
        <v>30.304761904761904</v>
      </c>
      <c r="K25" s="2">
        <f t="shared" si="2"/>
        <v>6.7442685837797729</v>
      </c>
      <c r="L25">
        <f t="shared" si="3"/>
        <v>0.22254814622780522</v>
      </c>
      <c r="M25">
        <f t="shared" si="4"/>
        <v>303.04761904761904</v>
      </c>
      <c r="N25">
        <f t="shared" si="5"/>
        <v>67.442685837797725</v>
      </c>
    </row>
    <row r="26" spans="1:28" x14ac:dyDescent="0.2">
      <c r="A26" t="s">
        <v>285</v>
      </c>
      <c r="B26">
        <v>27</v>
      </c>
      <c r="C26">
        <v>28.633333333333336</v>
      </c>
      <c r="E26">
        <v>34</v>
      </c>
      <c r="F26">
        <v>18.024999999999999</v>
      </c>
      <c r="G26">
        <v>25.25</v>
      </c>
      <c r="H26">
        <v>27.25</v>
      </c>
      <c r="I26">
        <v>29</v>
      </c>
      <c r="J26" s="2">
        <f t="shared" si="1"/>
        <v>27.022619047619049</v>
      </c>
      <c r="K26" s="2">
        <f t="shared" si="2"/>
        <v>4.819056294693854</v>
      </c>
      <c r="L26">
        <f t="shared" si="3"/>
        <v>0.17833416835732135</v>
      </c>
      <c r="M26">
        <f t="shared" si="4"/>
        <v>270.22619047619048</v>
      </c>
      <c r="N26">
        <f t="shared" si="5"/>
        <v>48.190562946938542</v>
      </c>
    </row>
    <row r="27" spans="1:28" x14ac:dyDescent="0.2">
      <c r="A27" t="s">
        <v>277</v>
      </c>
      <c r="C27">
        <v>23.066666666666666</v>
      </c>
      <c r="E27">
        <v>24</v>
      </c>
      <c r="F27">
        <v>18.95</v>
      </c>
      <c r="G27">
        <v>18.350000000000001</v>
      </c>
      <c r="H27">
        <v>22.65</v>
      </c>
      <c r="I27">
        <v>31.35</v>
      </c>
      <c r="J27" s="2">
        <f t="shared" si="1"/>
        <v>23.061111111111114</v>
      </c>
      <c r="K27" s="2">
        <f t="shared" si="2"/>
        <v>4.6658769173015386</v>
      </c>
      <c r="L27">
        <f t="shared" si="3"/>
        <v>0.20232663095983544</v>
      </c>
      <c r="M27">
        <f t="shared" si="4"/>
        <v>230.61111111111114</v>
      </c>
      <c r="N27">
        <f t="shared" si="5"/>
        <v>46.658769173015386</v>
      </c>
    </row>
    <row r="28" spans="1:28" x14ac:dyDescent="0.2">
      <c r="A28" t="s">
        <v>290</v>
      </c>
      <c r="C28">
        <v>20</v>
      </c>
      <c r="E28">
        <v>19</v>
      </c>
      <c r="F28">
        <v>18.8</v>
      </c>
      <c r="G28">
        <v>25.9</v>
      </c>
      <c r="H28">
        <v>26.25</v>
      </c>
      <c r="I28">
        <v>22.15</v>
      </c>
      <c r="J28" s="2">
        <f t="shared" si="1"/>
        <v>22.016666666666666</v>
      </c>
      <c r="K28" s="2">
        <f t="shared" si="2"/>
        <v>3.3625387234449304</v>
      </c>
      <c r="L28">
        <f t="shared" si="3"/>
        <v>0.15272696699976976</v>
      </c>
      <c r="M28">
        <f t="shared" si="4"/>
        <v>220.16666666666666</v>
      </c>
      <c r="N28">
        <f t="shared" si="5"/>
        <v>33.625387234449306</v>
      </c>
    </row>
    <row r="29" spans="1:28" x14ac:dyDescent="0.2">
      <c r="L29" s="3">
        <v>0.57999999999999996</v>
      </c>
    </row>
    <row r="30" spans="1:28" x14ac:dyDescent="0.2">
      <c r="A30" s="2" t="s">
        <v>294</v>
      </c>
      <c r="B30" s="2">
        <v>41.9</v>
      </c>
      <c r="C30" s="2">
        <v>41.050000000000004</v>
      </c>
      <c r="D30" s="2"/>
      <c r="E30" s="2">
        <v>43.5</v>
      </c>
      <c r="F30" s="2">
        <v>25.7</v>
      </c>
      <c r="G30" s="2">
        <v>33.575000000000003</v>
      </c>
      <c r="H30" s="2">
        <v>34.375</v>
      </c>
      <c r="I30" s="2">
        <v>37</v>
      </c>
    </row>
    <row r="31" spans="1:28" x14ac:dyDescent="0.2">
      <c r="A31" s="2" t="s">
        <v>259</v>
      </c>
      <c r="B31" s="2">
        <v>38.6</v>
      </c>
      <c r="C31" s="2">
        <v>39.377777777777787</v>
      </c>
      <c r="D31" s="2"/>
      <c r="E31" s="2">
        <v>40.916666666666664</v>
      </c>
      <c r="F31" s="2">
        <v>22.716666666666669</v>
      </c>
      <c r="G31" s="2">
        <v>31.833333333333332</v>
      </c>
      <c r="H31" s="2">
        <v>32.5</v>
      </c>
      <c r="I31" s="2">
        <v>36.166666666666664</v>
      </c>
      <c r="T31" s="2" t="s">
        <v>521</v>
      </c>
      <c r="U31" s="2"/>
      <c r="V31" s="2"/>
    </row>
    <row r="32" spans="1:28" x14ac:dyDescent="0.2">
      <c r="A32" s="2" t="s">
        <v>336</v>
      </c>
      <c r="B32" s="2">
        <v>27</v>
      </c>
      <c r="C32" s="2">
        <v>23.900000000000002</v>
      </c>
      <c r="D32" s="2"/>
      <c r="E32" s="2">
        <v>25.666666666666668</v>
      </c>
      <c r="F32" s="2">
        <v>18.591666666666665</v>
      </c>
      <c r="G32" s="2">
        <v>23.166666666666668</v>
      </c>
      <c r="H32" s="2">
        <v>25.383333333333336</v>
      </c>
      <c r="I32" s="2">
        <v>27.5</v>
      </c>
      <c r="N32">
        <f>1/N33</f>
        <v>8.5015151515151516E-2</v>
      </c>
      <c r="T32" s="2"/>
      <c r="U32" s="2">
        <v>1976</v>
      </c>
      <c r="V32" s="2">
        <v>1988</v>
      </c>
      <c r="W32" s="2">
        <v>1997</v>
      </c>
      <c r="X32" s="2">
        <v>2002</v>
      </c>
      <c r="Y32" s="2">
        <v>2009</v>
      </c>
      <c r="Z32" s="2">
        <v>2014</v>
      </c>
      <c r="AA32" s="2">
        <v>2018</v>
      </c>
    </row>
    <row r="33" spans="1:27" x14ac:dyDescent="0.2">
      <c r="A33" s="2" t="s">
        <v>411</v>
      </c>
      <c r="B33" s="2"/>
      <c r="C33" s="2"/>
      <c r="D33" s="2"/>
      <c r="E33" s="2"/>
      <c r="F33" s="2"/>
      <c r="G33" s="2"/>
      <c r="H33" s="2"/>
      <c r="I33" s="2"/>
      <c r="N33">
        <f>(45*0.44)/1.6833</f>
        <v>11.762609160577437</v>
      </c>
      <c r="T33" s="2" t="s">
        <v>193</v>
      </c>
      <c r="U33" s="2">
        <v>13.74</v>
      </c>
      <c r="V33" s="2">
        <v>13.353168913105819</v>
      </c>
      <c r="W33" s="2">
        <v>8.5</v>
      </c>
      <c r="X33" s="2">
        <v>10.239462563658034</v>
      </c>
      <c r="Y33" s="2">
        <v>9.1925781580953991</v>
      </c>
      <c r="Z33" s="2">
        <v>9.6232596232596226</v>
      </c>
      <c r="AA33" s="2">
        <v>10.311447811447813</v>
      </c>
    </row>
    <row r="34" spans="1:27" x14ac:dyDescent="0.2">
      <c r="G34" t="s">
        <v>448</v>
      </c>
      <c r="T34" s="9" t="s">
        <v>306</v>
      </c>
      <c r="U34" s="2">
        <v>9.4</v>
      </c>
      <c r="V34" s="2">
        <v>13.332065424115632</v>
      </c>
      <c r="W34" s="2">
        <v>10.5</v>
      </c>
      <c r="X34" s="2">
        <v>9.3858943416465532</v>
      </c>
      <c r="Y34" s="2">
        <v>9.9766400622931677</v>
      </c>
      <c r="Z34" s="2">
        <v>10.472370766488412</v>
      </c>
      <c r="AA34" s="2">
        <v>12.209750664039072</v>
      </c>
    </row>
    <row r="35" spans="1:27" x14ac:dyDescent="0.2">
      <c r="A35">
        <v>1988</v>
      </c>
      <c r="B35">
        <v>2002</v>
      </c>
      <c r="C35">
        <v>2009</v>
      </c>
      <c r="D35">
        <v>2014</v>
      </c>
      <c r="E35">
        <v>2018</v>
      </c>
      <c r="F35">
        <v>1976</v>
      </c>
      <c r="G35" s="2">
        <v>1988</v>
      </c>
      <c r="H35" s="2">
        <v>2002</v>
      </c>
      <c r="I35" s="2">
        <v>2009</v>
      </c>
      <c r="J35" s="2">
        <v>2014</v>
      </c>
      <c r="K35" s="2">
        <v>2018</v>
      </c>
      <c r="L35" s="2"/>
      <c r="M35" s="2">
        <v>1997</v>
      </c>
      <c r="T35" s="2" t="s">
        <v>307</v>
      </c>
      <c r="U35" s="2">
        <v>7.1</v>
      </c>
      <c r="V35" s="2">
        <v>12.194096375409972</v>
      </c>
      <c r="W35" s="2">
        <v>11.37</v>
      </c>
      <c r="X35" s="2">
        <v>8.928571428571427</v>
      </c>
      <c r="Y35" s="2">
        <v>10.020152261531571</v>
      </c>
      <c r="Z35" s="2">
        <v>12.257405515832481</v>
      </c>
      <c r="AA35" s="2">
        <v>13.161605715897339</v>
      </c>
    </row>
    <row r="36" spans="1:27" x14ac:dyDescent="0.2">
      <c r="A36" s="2" t="s">
        <v>177</v>
      </c>
      <c r="B36" s="2"/>
      <c r="G36" s="2" t="s">
        <v>178</v>
      </c>
      <c r="H36" s="2"/>
      <c r="I36" s="2"/>
      <c r="J36" s="2"/>
      <c r="K36" s="2"/>
      <c r="L36" s="2"/>
      <c r="N36" t="s">
        <v>357</v>
      </c>
    </row>
    <row r="37" spans="1:27" x14ac:dyDescent="0.2">
      <c r="A37">
        <v>74.888590604026859</v>
      </c>
      <c r="B37">
        <v>97.661375661375672</v>
      </c>
      <c r="C37">
        <v>108.78341013824885</v>
      </c>
      <c r="D37">
        <v>103.91489361702128</v>
      </c>
      <c r="E37">
        <v>96.979591836734684</v>
      </c>
      <c r="F37">
        <v>77.2</v>
      </c>
      <c r="G37" s="2">
        <f>1000/A37</f>
        <v>13.353168913105819</v>
      </c>
      <c r="H37" s="2">
        <v>10.239462563658034</v>
      </c>
      <c r="I37" s="2">
        <v>9.1925781580953991</v>
      </c>
      <c r="J37" s="2">
        <v>9.6232596232596226</v>
      </c>
      <c r="K37" s="2">
        <v>10.311447811447813</v>
      </c>
      <c r="L37" s="2" t="s">
        <v>95</v>
      </c>
      <c r="M37" s="2">
        <v>8.5</v>
      </c>
      <c r="N37" t="s">
        <v>358</v>
      </c>
    </row>
    <row r="38" spans="1:27" x14ac:dyDescent="0.2">
      <c r="A38">
        <v>75.007132667617697</v>
      </c>
      <c r="B38">
        <v>106.54285714285714</v>
      </c>
      <c r="C38">
        <v>100.23414634146341</v>
      </c>
      <c r="D38">
        <v>95.489361702127681</v>
      </c>
      <c r="E38">
        <v>81.901754385964907</v>
      </c>
      <c r="F38">
        <v>77.2</v>
      </c>
      <c r="G38" s="2">
        <f t="shared" ref="G38:G39" si="6">1000/A38</f>
        <v>13.332065424115632</v>
      </c>
      <c r="H38" s="2">
        <v>9.3858943416465532</v>
      </c>
      <c r="I38" s="2">
        <v>9.9766400622931677</v>
      </c>
      <c r="J38" s="2">
        <v>10.472370766488412</v>
      </c>
      <c r="K38" s="2">
        <v>12.209750664039072</v>
      </c>
      <c r="L38" s="2" t="s">
        <v>172</v>
      </c>
      <c r="M38" s="2">
        <v>10.5</v>
      </c>
      <c r="N38" t="s">
        <v>359</v>
      </c>
      <c r="Q38">
        <v>1976</v>
      </c>
    </row>
    <row r="39" spans="1:27" x14ac:dyDescent="0.2">
      <c r="A39">
        <v>82.006896551724154</v>
      </c>
      <c r="B39">
        <v>112.00000000000001</v>
      </c>
      <c r="C39">
        <v>99.798882681564251</v>
      </c>
      <c r="D39">
        <v>81.583333333333343</v>
      </c>
      <c r="E39">
        <v>75.978571428571428</v>
      </c>
      <c r="G39" s="2">
        <f t="shared" si="6"/>
        <v>12.194096375409972</v>
      </c>
      <c r="H39" s="2">
        <v>8.928571428571427</v>
      </c>
      <c r="I39" s="2">
        <v>10.020152261531571</v>
      </c>
      <c r="J39" s="2">
        <v>12.257405515832481</v>
      </c>
      <c r="K39" s="2">
        <v>13.161605715897339</v>
      </c>
      <c r="L39" s="2" t="s">
        <v>173</v>
      </c>
      <c r="M39" s="2">
        <v>11.37</v>
      </c>
      <c r="O39">
        <f>0.44*31.2/2.71</f>
        <v>5.065682656826568</v>
      </c>
      <c r="P39">
        <f>44.75*0.44/1.9</f>
        <v>10.363157894736844</v>
      </c>
      <c r="Q39">
        <f>0.44*49.5/2.2</f>
        <v>9.9</v>
      </c>
    </row>
    <row r="40" spans="1:27" x14ac:dyDescent="0.2">
      <c r="O40">
        <f>0.44*28.15/2.13</f>
        <v>5.8150234741784033</v>
      </c>
      <c r="P40">
        <f>0.44*25.75/2.48</f>
        <v>4.568548387096774</v>
      </c>
      <c r="Q40">
        <f>0.44*43.9/1.62</f>
        <v>11.923456790123454</v>
      </c>
      <c r="T40" s="2" t="s">
        <v>318</v>
      </c>
      <c r="U40" s="2">
        <v>1988</v>
      </c>
      <c r="V40" s="2">
        <v>1997</v>
      </c>
      <c r="W40" s="2">
        <v>2002</v>
      </c>
      <c r="X40" s="2">
        <v>2009</v>
      </c>
      <c r="Y40" s="2">
        <v>2014</v>
      </c>
      <c r="Z40" s="2">
        <v>2018</v>
      </c>
      <c r="AA40" s="2">
        <v>2018</v>
      </c>
    </row>
    <row r="41" spans="1:27" x14ac:dyDescent="0.2">
      <c r="A41" s="2" t="s">
        <v>318</v>
      </c>
      <c r="B41">
        <v>1976</v>
      </c>
      <c r="C41">
        <v>1988</v>
      </c>
      <c r="D41">
        <v>1993</v>
      </c>
      <c r="E41">
        <v>1997</v>
      </c>
      <c r="F41">
        <v>2002</v>
      </c>
      <c r="G41">
        <v>2009</v>
      </c>
      <c r="H41">
        <v>2014</v>
      </c>
      <c r="I41">
        <v>2018</v>
      </c>
      <c r="J41">
        <v>2018</v>
      </c>
      <c r="K41" t="s">
        <v>3</v>
      </c>
      <c r="L41" t="s">
        <v>86</v>
      </c>
      <c r="M41" t="s">
        <v>413</v>
      </c>
      <c r="O41">
        <f>23.17*0.44/1.54</f>
        <v>6.62</v>
      </c>
      <c r="P41">
        <f>0.44*30.9/1.82</f>
        <v>7.4703296703296704</v>
      </c>
      <c r="Q41">
        <f>0.44*31.2/2.71</f>
        <v>5.065682656826568</v>
      </c>
      <c r="T41" s="2" t="s">
        <v>305</v>
      </c>
      <c r="U41" s="2">
        <v>2.4833333333333334</v>
      </c>
      <c r="V41" s="2">
        <v>1.6833333333333336</v>
      </c>
      <c r="W41" s="2">
        <v>1.26</v>
      </c>
      <c r="X41" s="2">
        <v>1.4466666666666665</v>
      </c>
      <c r="Y41" s="2">
        <v>1.53</v>
      </c>
      <c r="Z41" s="2">
        <v>1.8</v>
      </c>
      <c r="AA41" s="2">
        <v>1.55</v>
      </c>
    </row>
    <row r="42" spans="1:27" x14ac:dyDescent="0.2">
      <c r="A42" t="s">
        <v>305</v>
      </c>
      <c r="B42">
        <v>2.6</v>
      </c>
      <c r="C42">
        <v>2.4833333333333334</v>
      </c>
      <c r="D42">
        <v>0.94750000000000001</v>
      </c>
      <c r="E42">
        <v>1.6833333333333336</v>
      </c>
      <c r="F42">
        <v>1.26</v>
      </c>
      <c r="G42">
        <v>1.4466666666666665</v>
      </c>
      <c r="H42">
        <v>1.53</v>
      </c>
      <c r="I42">
        <v>1.8</v>
      </c>
      <c r="J42">
        <v>1.55</v>
      </c>
      <c r="K42">
        <f>AVERAGE(B42:J42)</f>
        <v>1.7000925925925927</v>
      </c>
      <c r="L42">
        <f>STDEV(B42:J42)</f>
        <v>0.53727586483879131</v>
      </c>
      <c r="M42">
        <f>L42/K42</f>
        <v>0.31602741355367059</v>
      </c>
      <c r="Q42">
        <f>0.44*28.15/2.13</f>
        <v>5.8150234741784033</v>
      </c>
      <c r="T42" s="2" t="s">
        <v>306</v>
      </c>
      <c r="U42" s="2">
        <v>2.3366666666666664</v>
      </c>
      <c r="V42" s="2">
        <v>1.9333333333333333</v>
      </c>
      <c r="W42" s="2">
        <v>0.93333333333333324</v>
      </c>
      <c r="X42" s="2">
        <v>1.3666666666666665</v>
      </c>
      <c r="Y42" s="2">
        <v>1.55</v>
      </c>
      <c r="Z42" s="2">
        <v>1.6</v>
      </c>
      <c r="AA42" s="2">
        <v>2.0499999999999998</v>
      </c>
    </row>
    <row r="43" spans="1:27" x14ac:dyDescent="0.2">
      <c r="A43" t="s">
        <v>306</v>
      </c>
      <c r="B43">
        <v>1.69</v>
      </c>
      <c r="C43">
        <v>2.3366666666666664</v>
      </c>
      <c r="D43">
        <v>0.57399999999999995</v>
      </c>
      <c r="E43">
        <v>1.9333333333333333</v>
      </c>
      <c r="F43">
        <v>0.93333333333333324</v>
      </c>
      <c r="G43">
        <v>1.3666666666666665</v>
      </c>
      <c r="H43">
        <v>1.55</v>
      </c>
      <c r="I43">
        <v>1.6</v>
      </c>
      <c r="J43">
        <v>2.0499999999999998</v>
      </c>
      <c r="K43">
        <f t="shared" ref="K43:K47" si="7">AVERAGE(B43:J43)</f>
        <v>1.5593333333333332</v>
      </c>
      <c r="L43">
        <f t="shared" ref="L43:L47" si="8">STDEV(B43:J43)</f>
        <v>0.5481297494409717</v>
      </c>
      <c r="M43">
        <f t="shared" ref="M43:M47" si="9">L43/K43</f>
        <v>0.35151544427595449</v>
      </c>
      <c r="Q43">
        <f>23.17*0.44/1.54</f>
        <v>6.62</v>
      </c>
      <c r="T43" s="2" t="s">
        <v>307</v>
      </c>
      <c r="U43" s="2">
        <v>1.9333333333333336</v>
      </c>
      <c r="V43" s="2">
        <v>1.79</v>
      </c>
      <c r="W43" s="2">
        <v>0.66</v>
      </c>
      <c r="X43" s="2">
        <v>1.1933333333333334</v>
      </c>
      <c r="Y43" s="2">
        <v>1.6</v>
      </c>
      <c r="Z43" s="2">
        <v>1.95</v>
      </c>
      <c r="AA43" s="2">
        <v>1.7</v>
      </c>
    </row>
    <row r="44" spans="1:27" x14ac:dyDescent="0.2">
      <c r="A44" t="s">
        <v>307</v>
      </c>
      <c r="B44">
        <v>1</v>
      </c>
      <c r="C44">
        <v>1.9333333333333336</v>
      </c>
      <c r="D44">
        <v>0.64349999999999996</v>
      </c>
      <c r="E44">
        <v>1.79</v>
      </c>
      <c r="F44">
        <v>0.66</v>
      </c>
      <c r="G44">
        <v>1.1933333333333334</v>
      </c>
      <c r="H44">
        <v>1.6</v>
      </c>
      <c r="I44">
        <v>1.95</v>
      </c>
      <c r="J44">
        <v>1.7</v>
      </c>
      <c r="K44">
        <f t="shared" si="7"/>
        <v>1.3855740740740741</v>
      </c>
      <c r="L44">
        <f t="shared" si="8"/>
        <v>0.52318434125867364</v>
      </c>
      <c r="M44">
        <f t="shared" si="9"/>
        <v>0.37759391652034024</v>
      </c>
      <c r="Q44">
        <f>44.75*0.44/1.9</f>
        <v>10.363157894736844</v>
      </c>
      <c r="T44" s="2" t="s">
        <v>285</v>
      </c>
      <c r="U44" s="2">
        <v>1.41</v>
      </c>
      <c r="V44" s="2">
        <v>1.6533333333333335</v>
      </c>
      <c r="W44" s="2">
        <v>0.64349999999999996</v>
      </c>
      <c r="X44" s="2">
        <v>0.94</v>
      </c>
      <c r="Y44" s="2">
        <v>1.115</v>
      </c>
      <c r="Z44" s="2">
        <v>1.55</v>
      </c>
      <c r="AA44" s="2">
        <v>0.92</v>
      </c>
    </row>
    <row r="45" spans="1:27" x14ac:dyDescent="0.2">
      <c r="A45" t="s">
        <v>285</v>
      </c>
      <c r="B45">
        <v>0.61</v>
      </c>
      <c r="C45">
        <v>1.41</v>
      </c>
      <c r="D45">
        <v>0.71350000000000002</v>
      </c>
      <c r="E45">
        <v>1.6533333333333335</v>
      </c>
      <c r="F45">
        <v>0.64349999999999996</v>
      </c>
      <c r="G45">
        <v>0.94</v>
      </c>
      <c r="H45">
        <v>1.115</v>
      </c>
      <c r="I45">
        <v>1.55</v>
      </c>
      <c r="J45">
        <v>0.92</v>
      </c>
      <c r="K45">
        <f t="shared" si="7"/>
        <v>1.0617037037037038</v>
      </c>
      <c r="L45">
        <f t="shared" si="8"/>
        <v>0.39491736809547512</v>
      </c>
      <c r="M45">
        <f t="shared" si="9"/>
        <v>0.37196570636216519</v>
      </c>
      <c r="Q45">
        <f>0.44*25.75/2.48</f>
        <v>4.568548387096774</v>
      </c>
      <c r="T45" s="2" t="s">
        <v>277</v>
      </c>
      <c r="U45" s="2">
        <v>0.99</v>
      </c>
      <c r="V45" s="2">
        <v>1.4766666666666668</v>
      </c>
      <c r="W45" s="2">
        <v>0.58250000000000002</v>
      </c>
      <c r="X45" s="2">
        <v>0.64500000000000002</v>
      </c>
      <c r="Y45" s="2">
        <v>0.79500000000000004</v>
      </c>
      <c r="Z45" s="2">
        <v>1</v>
      </c>
      <c r="AA45" s="2">
        <v>1.7</v>
      </c>
    </row>
    <row r="46" spans="1:27" x14ac:dyDescent="0.2">
      <c r="A46" t="s">
        <v>277</v>
      </c>
      <c r="C46">
        <v>0.99</v>
      </c>
      <c r="D46">
        <v>0.88949999999999996</v>
      </c>
      <c r="E46">
        <v>1.4766666666666668</v>
      </c>
      <c r="F46">
        <v>0.58250000000000002</v>
      </c>
      <c r="G46">
        <v>0.64500000000000002</v>
      </c>
      <c r="H46">
        <v>0.79500000000000004</v>
      </c>
      <c r="I46">
        <v>1</v>
      </c>
      <c r="J46">
        <v>1.7</v>
      </c>
      <c r="K46">
        <f t="shared" si="7"/>
        <v>1.0098333333333334</v>
      </c>
      <c r="L46">
        <f t="shared" si="8"/>
        <v>0.39117114550969279</v>
      </c>
      <c r="M46">
        <f t="shared" si="9"/>
        <v>0.38736208500712271</v>
      </c>
      <c r="Q46">
        <f>0.44*30.9/1.82</f>
        <v>7.4703296703296704</v>
      </c>
      <c r="T46" s="2" t="s">
        <v>290</v>
      </c>
      <c r="U46" s="2">
        <v>0.67</v>
      </c>
      <c r="V46" s="2">
        <v>0.84333333333333327</v>
      </c>
      <c r="W46" s="2">
        <v>0.54</v>
      </c>
      <c r="X46" s="2">
        <v>0.47349999999999998</v>
      </c>
      <c r="Y46" s="2">
        <v>0.74</v>
      </c>
      <c r="Z46" s="2">
        <v>0.88</v>
      </c>
      <c r="AA46" s="2">
        <v>0.76</v>
      </c>
    </row>
    <row r="47" spans="1:27" x14ac:dyDescent="0.2">
      <c r="A47" t="s">
        <v>290</v>
      </c>
      <c r="C47">
        <v>0.67</v>
      </c>
      <c r="D47">
        <v>0.91549999999999998</v>
      </c>
      <c r="E47">
        <v>0.84333333333333327</v>
      </c>
      <c r="F47">
        <v>0.54</v>
      </c>
      <c r="G47">
        <v>0.47349999999999998</v>
      </c>
      <c r="H47">
        <v>0.74</v>
      </c>
      <c r="I47">
        <v>0.88</v>
      </c>
      <c r="J47">
        <v>0.76</v>
      </c>
      <c r="K47">
        <f t="shared" si="7"/>
        <v>0.72779166666666661</v>
      </c>
      <c r="L47">
        <f t="shared" si="8"/>
        <v>0.15865863199944893</v>
      </c>
      <c r="M47">
        <f t="shared" si="9"/>
        <v>0.21800006686819573</v>
      </c>
      <c r="P47" t="s">
        <v>135</v>
      </c>
      <c r="Q47">
        <v>77.2</v>
      </c>
      <c r="T47" s="2" t="s">
        <v>326</v>
      </c>
      <c r="U47" s="2">
        <v>1.6372222222222224</v>
      </c>
      <c r="V47" s="2">
        <v>1.5633333333333335</v>
      </c>
      <c r="W47" s="2">
        <v>0.76988888888888896</v>
      </c>
      <c r="X47" s="2">
        <v>1.0108611111111108</v>
      </c>
      <c r="Y47" s="2">
        <v>1.2216666666666667</v>
      </c>
      <c r="Z47" s="2">
        <v>1.4633333333333336</v>
      </c>
      <c r="AA47" s="2">
        <v>1.4466666666666665</v>
      </c>
    </row>
    <row r="48" spans="1:27" x14ac:dyDescent="0.2">
      <c r="A48" t="s">
        <v>326</v>
      </c>
      <c r="B48">
        <v>1.4750000000000001</v>
      </c>
      <c r="C48">
        <v>1.6372222222222224</v>
      </c>
      <c r="D48">
        <v>0.7805833333333333</v>
      </c>
      <c r="E48">
        <v>1.5633333333333335</v>
      </c>
      <c r="F48">
        <v>0.76988888888888896</v>
      </c>
      <c r="G48">
        <v>1.0108611111111108</v>
      </c>
      <c r="H48">
        <v>1.2216666666666667</v>
      </c>
      <c r="I48">
        <v>1.4633333333333336</v>
      </c>
      <c r="J48">
        <v>1.4466666666666665</v>
      </c>
      <c r="K48" t="s">
        <v>290</v>
      </c>
      <c r="L48" s="3">
        <v>0.43</v>
      </c>
      <c r="Q48" t="s">
        <v>361</v>
      </c>
      <c r="T48" s="2" t="s">
        <v>320</v>
      </c>
      <c r="U48" s="2">
        <v>52.343333333333334</v>
      </c>
      <c r="V48" s="2">
        <v>57.850000000000009</v>
      </c>
      <c r="W48" s="2">
        <v>26.28</v>
      </c>
      <c r="X48" s="2">
        <v>33.545000000000002</v>
      </c>
      <c r="Y48" s="2">
        <v>42.21</v>
      </c>
      <c r="Z48" s="2">
        <v>52.45</v>
      </c>
      <c r="AA48" s="2">
        <v>51.550000000000004</v>
      </c>
    </row>
    <row r="49" spans="1:27" x14ac:dyDescent="0.2">
      <c r="A49" t="s">
        <v>320</v>
      </c>
      <c r="B49">
        <v>21.369999999999997</v>
      </c>
      <c r="C49">
        <v>52.343333333333334</v>
      </c>
      <c r="D49">
        <v>32.019500000000001</v>
      </c>
      <c r="E49">
        <v>57.850000000000009</v>
      </c>
      <c r="F49">
        <v>26.28</v>
      </c>
      <c r="G49">
        <v>33.545000000000002</v>
      </c>
      <c r="H49">
        <v>42.21</v>
      </c>
      <c r="I49">
        <v>52.45</v>
      </c>
      <c r="J49">
        <v>51.550000000000004</v>
      </c>
      <c r="T49" s="2" t="s">
        <v>3</v>
      </c>
      <c r="U49" s="2">
        <v>1.3085833333333334</v>
      </c>
      <c r="V49" s="2">
        <v>1.4462500000000003</v>
      </c>
      <c r="W49" s="2">
        <v>0.65700000000000003</v>
      </c>
      <c r="X49" s="2">
        <v>0.83862500000000006</v>
      </c>
      <c r="Y49" s="2">
        <v>1.05525</v>
      </c>
      <c r="Z49" s="2">
        <v>1.31125</v>
      </c>
      <c r="AA49" s="2">
        <v>1.2887500000000001</v>
      </c>
    </row>
    <row r="50" spans="1:27" x14ac:dyDescent="0.2">
      <c r="A50" s="2" t="s">
        <v>3</v>
      </c>
      <c r="B50" s="2">
        <v>1.0684999999999998</v>
      </c>
      <c r="C50" s="2">
        <v>1.3085833333333334</v>
      </c>
      <c r="D50" s="2">
        <v>0.80048750000000002</v>
      </c>
      <c r="E50" s="2">
        <v>1.4462500000000003</v>
      </c>
      <c r="F50" s="2">
        <v>0.65700000000000003</v>
      </c>
      <c r="G50" s="2">
        <v>0.83862500000000006</v>
      </c>
      <c r="H50" s="2">
        <v>1.05525</v>
      </c>
      <c r="I50" s="2">
        <v>1.31125</v>
      </c>
      <c r="J50" s="2">
        <v>1.2887500000000001</v>
      </c>
      <c r="K50" s="2" t="s">
        <v>301</v>
      </c>
      <c r="T50" s="2" t="s">
        <v>325</v>
      </c>
      <c r="U50" s="2">
        <v>2.1643333333333334</v>
      </c>
      <c r="V50" s="2">
        <v>1.8116666666666668</v>
      </c>
      <c r="W50" s="2">
        <v>0.8620000000000001</v>
      </c>
      <c r="X50" s="2">
        <v>1.2959999999999998</v>
      </c>
      <c r="Y50" s="2">
        <v>1.5710000000000002</v>
      </c>
      <c r="Z50" s="2">
        <v>1.8149999999999999</v>
      </c>
      <c r="AA50" s="2">
        <v>1.7749999999999999</v>
      </c>
    </row>
    <row r="51" spans="1:27" x14ac:dyDescent="0.2">
      <c r="A51" s="2" t="s">
        <v>325</v>
      </c>
      <c r="B51" s="2">
        <v>1.5269999999999999</v>
      </c>
      <c r="C51" s="2">
        <v>2.1643333333333334</v>
      </c>
      <c r="D51" s="2">
        <v>0.68345</v>
      </c>
      <c r="E51" s="2">
        <v>1.8116666666666668</v>
      </c>
      <c r="F51" s="2">
        <v>0.8620000000000001</v>
      </c>
      <c r="G51" s="2">
        <v>1.2959999999999998</v>
      </c>
      <c r="H51" s="2">
        <v>1.5710000000000002</v>
      </c>
      <c r="I51" s="2">
        <v>1.8149999999999999</v>
      </c>
      <c r="J51" s="2">
        <v>1.7749999999999999</v>
      </c>
      <c r="K51" s="2" t="s">
        <v>104</v>
      </c>
    </row>
    <row r="52" spans="1:27" x14ac:dyDescent="0.2">
      <c r="B52" t="s">
        <v>354</v>
      </c>
    </row>
    <row r="55" spans="1:27" x14ac:dyDescent="0.2">
      <c r="X55" t="s">
        <v>499</v>
      </c>
    </row>
    <row r="56" spans="1:27" x14ac:dyDescent="0.2">
      <c r="A56" s="2" t="s">
        <v>353</v>
      </c>
      <c r="B56" s="2"/>
    </row>
    <row r="57" spans="1:27" x14ac:dyDescent="0.2">
      <c r="A57">
        <v>1993</v>
      </c>
      <c r="F57" t="s">
        <v>135</v>
      </c>
      <c r="I57" t="s">
        <v>135</v>
      </c>
      <c r="L57" t="s">
        <v>135</v>
      </c>
      <c r="O57" t="s">
        <v>135</v>
      </c>
      <c r="R57" t="s">
        <v>135</v>
      </c>
      <c r="V57" t="s">
        <v>498</v>
      </c>
    </row>
    <row r="58" spans="1:27" x14ac:dyDescent="0.2">
      <c r="A58" t="s">
        <v>50</v>
      </c>
      <c r="C58" t="s">
        <v>288</v>
      </c>
      <c r="D58" t="s">
        <v>286</v>
      </c>
      <c r="G58" t="s">
        <v>281</v>
      </c>
      <c r="J58" t="s">
        <v>282</v>
      </c>
      <c r="M58" t="s">
        <v>283</v>
      </c>
      <c r="P58" t="s">
        <v>284</v>
      </c>
      <c r="S58" t="s">
        <v>287</v>
      </c>
      <c r="T58" t="s">
        <v>289</v>
      </c>
      <c r="U58" t="s">
        <v>303</v>
      </c>
      <c r="V58" t="s">
        <v>497</v>
      </c>
    </row>
    <row r="59" spans="1:27" x14ac:dyDescent="0.2">
      <c r="A59">
        <v>0.47699999999999998</v>
      </c>
      <c r="B59">
        <v>1.4179999999999999</v>
      </c>
      <c r="C59">
        <f>AVERAGE(A59:B59)</f>
        <v>0.94750000000000001</v>
      </c>
      <c r="D59">
        <v>0.59499999999999997</v>
      </c>
      <c r="E59">
        <v>0.17499999999999999</v>
      </c>
      <c r="F59">
        <f>AVERAGE(D59:E59)</f>
        <v>0.38500000000000001</v>
      </c>
      <c r="G59">
        <v>0.42699999999999999</v>
      </c>
      <c r="H59">
        <v>0.223</v>
      </c>
      <c r="I59">
        <f>AVERAGE(G59:H59)</f>
        <v>0.32500000000000001</v>
      </c>
      <c r="J59">
        <v>0.219</v>
      </c>
      <c r="K59">
        <v>3.5999999999999997E-2</v>
      </c>
      <c r="L59">
        <f>AVERAGE(J59:K59)</f>
        <v>0.1275</v>
      </c>
      <c r="M59">
        <v>5.7000000000000002E-2</v>
      </c>
      <c r="N59">
        <v>0.126</v>
      </c>
      <c r="O59">
        <f>AVERAGE(M59:N59)</f>
        <v>9.1499999999999998E-2</v>
      </c>
      <c r="P59">
        <v>2.9000000000000001E-2</v>
      </c>
      <c r="Q59">
        <v>2.4E-2</v>
      </c>
      <c r="R59">
        <f>AVERAGE(P59:Q59)</f>
        <v>2.6500000000000003E-2</v>
      </c>
      <c r="S59">
        <f>1.911/2</f>
        <v>0.95550000000000002</v>
      </c>
      <c r="T59">
        <f>S59/2</f>
        <v>0.47775000000000001</v>
      </c>
      <c r="U59">
        <v>1.008</v>
      </c>
      <c r="V59">
        <f>L59*100/S59</f>
        <v>13.343799058084771</v>
      </c>
    </row>
    <row r="60" spans="1:27" x14ac:dyDescent="0.2">
      <c r="A60">
        <v>0.44800000000000001</v>
      </c>
      <c r="B60">
        <v>0.7</v>
      </c>
      <c r="C60">
        <f t="shared" ref="C60:C64" si="10">AVERAGE(A60:B60)</f>
        <v>0.57399999999999995</v>
      </c>
      <c r="D60">
        <v>0.32100000000000001</v>
      </c>
      <c r="E60">
        <v>0.20100000000000001</v>
      </c>
      <c r="F60">
        <f t="shared" ref="F60:F64" si="11">AVERAGE(D60:E60)</f>
        <v>0.26100000000000001</v>
      </c>
      <c r="G60">
        <v>0.253</v>
      </c>
      <c r="H60">
        <v>0.191</v>
      </c>
      <c r="I60">
        <f t="shared" ref="I60:I64" si="12">AVERAGE(G60:H60)</f>
        <v>0.222</v>
      </c>
      <c r="J60">
        <v>7.4999999999999997E-2</v>
      </c>
      <c r="K60">
        <v>3.6999999999999998E-2</v>
      </c>
      <c r="L60">
        <f t="shared" ref="L60:L64" si="13">AVERAGE(J60:K60)</f>
        <v>5.5999999999999994E-2</v>
      </c>
      <c r="M60">
        <v>1.0999999999999999E-2</v>
      </c>
      <c r="N60">
        <v>2.8000000000000001E-2</v>
      </c>
      <c r="O60">
        <f t="shared" ref="O60:O64" si="14">AVERAGE(M60:N60)</f>
        <v>1.95E-2</v>
      </c>
      <c r="P60">
        <v>8.9999999999999993E-3</v>
      </c>
      <c r="Q60">
        <v>2.4E-2</v>
      </c>
      <c r="R60">
        <f t="shared" ref="R60:R64" si="15">AVERAGE(P60:Q60)</f>
        <v>1.6500000000000001E-2</v>
      </c>
      <c r="S60">
        <f t="shared" ref="S60:S64" si="16">SUM(D60:Q60)</f>
        <v>1.7084999999999999</v>
      </c>
      <c r="T60">
        <f>S60/2</f>
        <v>0.85424999999999995</v>
      </c>
      <c r="U60">
        <f t="shared" ref="U60:U64" si="17">T60/C60</f>
        <v>1.488240418118467</v>
      </c>
      <c r="V60">
        <f t="shared" ref="V60:V64" si="18">L60*100/S60</f>
        <v>3.2777290020485808</v>
      </c>
    </row>
    <row r="61" spans="1:27" x14ac:dyDescent="0.2">
      <c r="A61">
        <v>0.68500000000000005</v>
      </c>
      <c r="B61">
        <v>0.60199999999999998</v>
      </c>
      <c r="C61">
        <f t="shared" si="10"/>
        <v>0.64349999999999996</v>
      </c>
      <c r="D61">
        <v>0.27900000000000003</v>
      </c>
      <c r="E61">
        <v>0.311</v>
      </c>
      <c r="F61">
        <f t="shared" si="11"/>
        <v>0.29500000000000004</v>
      </c>
      <c r="G61">
        <v>0.23300000000000001</v>
      </c>
      <c r="H61">
        <v>0.25700000000000001</v>
      </c>
      <c r="I61">
        <f t="shared" si="12"/>
        <v>0.245</v>
      </c>
      <c r="J61">
        <v>7.3999999999999996E-2</v>
      </c>
      <c r="K61">
        <v>0.09</v>
      </c>
      <c r="L61">
        <f t="shared" si="13"/>
        <v>8.199999999999999E-2</v>
      </c>
      <c r="M61">
        <v>1.9E-2</v>
      </c>
      <c r="N61">
        <v>1.6E-2</v>
      </c>
      <c r="O61">
        <f t="shared" si="14"/>
        <v>1.7500000000000002E-2</v>
      </c>
      <c r="P61">
        <v>8.0000000000000002E-3</v>
      </c>
      <c r="Q61">
        <v>5.0000000000000001E-3</v>
      </c>
      <c r="R61">
        <f t="shared" si="15"/>
        <v>6.5000000000000006E-3</v>
      </c>
      <c r="S61">
        <f t="shared" si="16"/>
        <v>1.9315000000000002</v>
      </c>
      <c r="T61">
        <f>S61/2</f>
        <v>0.96575000000000011</v>
      </c>
      <c r="U61">
        <f t="shared" si="17"/>
        <v>1.5007770007770009</v>
      </c>
      <c r="V61">
        <f t="shared" si="18"/>
        <v>4.2454051255500902</v>
      </c>
    </row>
    <row r="62" spans="1:27" x14ac:dyDescent="0.2">
      <c r="A62">
        <v>0.77700000000000002</v>
      </c>
      <c r="B62">
        <v>0.65</v>
      </c>
      <c r="C62">
        <f t="shared" si="10"/>
        <v>0.71350000000000002</v>
      </c>
      <c r="D62">
        <v>0.27800000000000002</v>
      </c>
      <c r="E62">
        <v>0.378</v>
      </c>
      <c r="F62">
        <f t="shared" si="11"/>
        <v>0.32800000000000001</v>
      </c>
      <c r="G62">
        <v>0.27100000000000002</v>
      </c>
      <c r="H62">
        <v>0.121</v>
      </c>
      <c r="I62">
        <f t="shared" si="12"/>
        <v>0.19600000000000001</v>
      </c>
      <c r="J62">
        <v>9.9000000000000005E-2</v>
      </c>
      <c r="K62">
        <v>4.3999999999999997E-2</v>
      </c>
      <c r="L62">
        <f t="shared" si="13"/>
        <v>7.1500000000000008E-2</v>
      </c>
      <c r="M62">
        <v>6.0000000000000001E-3</v>
      </c>
      <c r="N62">
        <v>1.2999999999999999E-2</v>
      </c>
      <c r="O62">
        <f t="shared" si="14"/>
        <v>9.4999999999999998E-3</v>
      </c>
      <c r="P62">
        <v>5.0000000000000001E-3</v>
      </c>
      <c r="Q62">
        <v>2.8000000000000001E-2</v>
      </c>
      <c r="R62">
        <f t="shared" si="15"/>
        <v>1.6500000000000001E-2</v>
      </c>
      <c r="S62">
        <f t="shared" si="16"/>
        <v>1.8479999999999996</v>
      </c>
      <c r="T62">
        <f>S62/2</f>
        <v>0.92399999999999982</v>
      </c>
      <c r="U62">
        <f t="shared" si="17"/>
        <v>1.2950245269796774</v>
      </c>
      <c r="V62">
        <f t="shared" si="18"/>
        <v>3.86904761904762</v>
      </c>
    </row>
    <row r="63" spans="1:27" x14ac:dyDescent="0.2">
      <c r="A63">
        <v>0.746</v>
      </c>
      <c r="B63">
        <v>1.0329999999999999</v>
      </c>
      <c r="C63">
        <f t="shared" si="10"/>
        <v>0.88949999999999996</v>
      </c>
      <c r="D63">
        <v>0.27500000000000002</v>
      </c>
      <c r="E63">
        <v>0.33800000000000002</v>
      </c>
      <c r="F63">
        <f t="shared" si="11"/>
        <v>0.30649999999999999</v>
      </c>
      <c r="G63">
        <v>0.24</v>
      </c>
      <c r="H63">
        <v>0.24</v>
      </c>
      <c r="I63">
        <f t="shared" si="12"/>
        <v>0.24</v>
      </c>
      <c r="J63">
        <v>3.6200000000000003E-2</v>
      </c>
      <c r="K63">
        <v>0.12</v>
      </c>
      <c r="L63">
        <f t="shared" si="13"/>
        <v>7.8100000000000003E-2</v>
      </c>
      <c r="M63">
        <v>0.02</v>
      </c>
      <c r="N63">
        <v>0.01</v>
      </c>
      <c r="O63">
        <f t="shared" si="14"/>
        <v>1.4999999999999999E-2</v>
      </c>
      <c r="P63">
        <v>3.6999999999999998E-2</v>
      </c>
      <c r="Q63">
        <v>3.6600000000000001E-2</v>
      </c>
      <c r="R63">
        <f t="shared" si="15"/>
        <v>3.6799999999999999E-2</v>
      </c>
      <c r="S63">
        <f t="shared" si="16"/>
        <v>1.9923999999999999</v>
      </c>
      <c r="T63">
        <f>(S63+G63)/2</f>
        <v>1.1162000000000001</v>
      </c>
      <c r="U63">
        <f t="shared" si="17"/>
        <v>1.2548622821810007</v>
      </c>
      <c r="V63">
        <f t="shared" si="18"/>
        <v>3.9198956032925119</v>
      </c>
    </row>
    <row r="64" spans="1:27" x14ac:dyDescent="0.2">
      <c r="A64">
        <v>0.59799999999999998</v>
      </c>
      <c r="B64">
        <v>1.2330000000000001</v>
      </c>
      <c r="C64">
        <f t="shared" si="10"/>
        <v>0.91549999999999998</v>
      </c>
      <c r="D64">
        <v>0.38400000000000001</v>
      </c>
      <c r="E64">
        <v>0.374</v>
      </c>
      <c r="F64">
        <f t="shared" si="11"/>
        <v>0.379</v>
      </c>
      <c r="G64">
        <v>0.22500000000000001</v>
      </c>
      <c r="H64">
        <v>0.19</v>
      </c>
      <c r="I64">
        <f t="shared" si="12"/>
        <v>0.20750000000000002</v>
      </c>
      <c r="J64">
        <v>5.1999999999999998E-2</v>
      </c>
      <c r="K64">
        <v>0.09</v>
      </c>
      <c r="L64">
        <f t="shared" si="13"/>
        <v>7.0999999999999994E-2</v>
      </c>
      <c r="M64">
        <v>8.9999999999999993E-3</v>
      </c>
      <c r="N64">
        <v>1.9E-2</v>
      </c>
      <c r="O64">
        <f t="shared" si="14"/>
        <v>1.3999999999999999E-2</v>
      </c>
      <c r="P64">
        <v>1.26E-2</v>
      </c>
      <c r="Q64">
        <v>5.0000000000000001E-3</v>
      </c>
      <c r="R64">
        <f t="shared" si="15"/>
        <v>8.8000000000000005E-3</v>
      </c>
      <c r="S64">
        <f t="shared" si="16"/>
        <v>2.0320999999999998</v>
      </c>
      <c r="T64">
        <f>S64/2</f>
        <v>1.0160499999999999</v>
      </c>
      <c r="U64">
        <f t="shared" si="17"/>
        <v>1.109830693610049</v>
      </c>
      <c r="V64">
        <f t="shared" si="18"/>
        <v>3.4939225431819301</v>
      </c>
    </row>
    <row r="67" spans="1:17" x14ac:dyDescent="0.2">
      <c r="A67" t="s">
        <v>286</v>
      </c>
      <c r="B67" t="s">
        <v>75</v>
      </c>
      <c r="C67" t="s">
        <v>281</v>
      </c>
      <c r="D67" t="s">
        <v>75</v>
      </c>
      <c r="E67" t="s">
        <v>282</v>
      </c>
      <c r="G67" t="s">
        <v>351</v>
      </c>
      <c r="I67" t="s">
        <v>284</v>
      </c>
      <c r="K67" t="s">
        <v>352</v>
      </c>
      <c r="N67">
        <v>1993</v>
      </c>
    </row>
    <row r="68" spans="1:17" x14ac:dyDescent="0.2">
      <c r="A68">
        <v>0.38500000000000001</v>
      </c>
      <c r="B68">
        <f>A68*100/L68</f>
        <v>40.271966527196653</v>
      </c>
      <c r="C68">
        <v>0.32500000000000001</v>
      </c>
      <c r="D68">
        <f>C68*100/L68</f>
        <v>33.995815899581594</v>
      </c>
      <c r="E68">
        <v>0.1275</v>
      </c>
      <c r="F68">
        <f>E68*100/L68</f>
        <v>13.336820083682008</v>
      </c>
      <c r="G68">
        <v>9.1499999999999998E-2</v>
      </c>
      <c r="H68">
        <f>G68*100/L68</f>
        <v>9.5711297071129717</v>
      </c>
      <c r="I68">
        <v>2.6500000000000003E-2</v>
      </c>
      <c r="J68">
        <f>I68*100/L68</f>
        <v>2.7719665271966534</v>
      </c>
      <c r="K68">
        <f>SUM(A68:I68)</f>
        <v>98.131232217573228</v>
      </c>
      <c r="L68">
        <v>0.95599999999999996</v>
      </c>
      <c r="N68" t="s">
        <v>453</v>
      </c>
      <c r="O68" t="s">
        <v>455</v>
      </c>
      <c r="P68" t="s">
        <v>456</v>
      </c>
      <c r="Q68" t="s">
        <v>457</v>
      </c>
    </row>
    <row r="69" spans="1:17" x14ac:dyDescent="0.2">
      <c r="A69">
        <v>0.26100000000000001</v>
      </c>
      <c r="B69">
        <f t="shared" ref="B69:B73" si="19">A69*100/L69</f>
        <v>45.312500000000007</v>
      </c>
      <c r="C69">
        <v>0.222</v>
      </c>
      <c r="D69">
        <f t="shared" ref="D69:D73" si="20">C69*100/L69</f>
        <v>38.541666666666671</v>
      </c>
      <c r="E69">
        <v>5.5999999999999994E-2</v>
      </c>
      <c r="F69">
        <f t="shared" ref="F69:F73" si="21">E69*100/L69</f>
        <v>9.7222222222222232</v>
      </c>
      <c r="G69">
        <v>1.95E-2</v>
      </c>
      <c r="H69">
        <f t="shared" ref="H69:H73" si="22">G69*100/L69</f>
        <v>3.385416666666667</v>
      </c>
      <c r="I69">
        <v>1.6500000000000001E-2</v>
      </c>
      <c r="J69">
        <f t="shared" ref="J69:J73" si="23">I69*100/L69</f>
        <v>2.8645833333333339</v>
      </c>
      <c r="K69">
        <f t="shared" ref="K69:K73" si="24">SUM(A69:I69)</f>
        <v>97.536805555555574</v>
      </c>
      <c r="L69">
        <f>0.576</f>
        <v>0.57599999999999996</v>
      </c>
      <c r="N69" t="s">
        <v>135</v>
      </c>
      <c r="O69" t="s">
        <v>135</v>
      </c>
      <c r="P69" t="s">
        <v>414</v>
      </c>
      <c r="Q69" t="s">
        <v>414</v>
      </c>
    </row>
    <row r="70" spans="1:17" x14ac:dyDescent="0.2">
      <c r="A70">
        <v>0.29500000000000004</v>
      </c>
      <c r="B70">
        <f t="shared" si="19"/>
        <v>45.595054095826896</v>
      </c>
      <c r="C70">
        <v>0.245</v>
      </c>
      <c r="D70">
        <f t="shared" si="20"/>
        <v>37.867078825347761</v>
      </c>
      <c r="E70">
        <v>8.199999999999999E-2</v>
      </c>
      <c r="F70">
        <f t="shared" si="21"/>
        <v>12.673879443585779</v>
      </c>
      <c r="G70">
        <v>1.7500000000000002E-2</v>
      </c>
      <c r="H70">
        <f t="shared" si="22"/>
        <v>2.7047913446676972</v>
      </c>
      <c r="I70">
        <v>6.5000000000000006E-3</v>
      </c>
      <c r="J70">
        <f t="shared" si="23"/>
        <v>1.0046367851622875</v>
      </c>
      <c r="K70">
        <f t="shared" si="24"/>
        <v>99.486803709428116</v>
      </c>
      <c r="L70">
        <f>0.647</f>
        <v>0.64700000000000002</v>
      </c>
      <c r="M70" t="s">
        <v>95</v>
      </c>
      <c r="N70">
        <v>24.388155696625457</v>
      </c>
      <c r="O70">
        <v>26.8059181897302</v>
      </c>
      <c r="P70">
        <v>0.35365331607083195</v>
      </c>
      <c r="Q70">
        <v>3.0164132976946208E-2</v>
      </c>
    </row>
    <row r="71" spans="1:17" x14ac:dyDescent="0.2">
      <c r="A71">
        <v>0.32800000000000001</v>
      </c>
      <c r="B71">
        <f t="shared" si="19"/>
        <v>52.733118971061103</v>
      </c>
      <c r="C71">
        <v>0.19600000000000001</v>
      </c>
      <c r="D71">
        <f t="shared" si="20"/>
        <v>31.511254019292608</v>
      </c>
      <c r="E71">
        <v>7.1500000000000008E-2</v>
      </c>
      <c r="F71">
        <f t="shared" si="21"/>
        <v>11.495176848874598</v>
      </c>
      <c r="G71">
        <v>9.4999999999999998E-3</v>
      </c>
      <c r="H71">
        <f t="shared" si="22"/>
        <v>1.5273311897106108</v>
      </c>
      <c r="I71">
        <v>1.6500000000000001E-2</v>
      </c>
      <c r="J71">
        <f t="shared" si="23"/>
        <v>2.6527331189710615</v>
      </c>
      <c r="K71">
        <f t="shared" si="24"/>
        <v>97.888381028938909</v>
      </c>
      <c r="L71">
        <v>0.622</v>
      </c>
      <c r="M71" s="1" t="s">
        <v>306</v>
      </c>
      <c r="N71">
        <v>13.184260493677533</v>
      </c>
      <c r="O71">
        <v>30.260869565217398</v>
      </c>
      <c r="P71">
        <v>0.3876328898750423</v>
      </c>
      <c r="Q71">
        <v>3.1674482347128087E-2</v>
      </c>
    </row>
    <row r="72" spans="1:17" x14ac:dyDescent="0.2">
      <c r="A72">
        <v>0.30649999999999999</v>
      </c>
      <c r="B72">
        <f t="shared" si="19"/>
        <v>45.306725794530671</v>
      </c>
      <c r="C72">
        <v>0.24</v>
      </c>
      <c r="D72">
        <f t="shared" si="20"/>
        <v>35.476718403547672</v>
      </c>
      <c r="E72">
        <v>7.8100000000000003E-2</v>
      </c>
      <c r="F72">
        <f t="shared" si="21"/>
        <v>11.544715447154472</v>
      </c>
      <c r="G72">
        <v>1.4999999999999999E-2</v>
      </c>
      <c r="H72">
        <f t="shared" si="22"/>
        <v>2.2172949002217295</v>
      </c>
      <c r="I72">
        <v>3.6799999999999999E-2</v>
      </c>
      <c r="J72">
        <f t="shared" si="23"/>
        <v>5.4397634885439761</v>
      </c>
      <c r="K72">
        <f t="shared" si="24"/>
        <v>95.221854545454562</v>
      </c>
      <c r="L72">
        <v>0.67649999999999999</v>
      </c>
      <c r="M72" s="1" t="s">
        <v>307</v>
      </c>
      <c r="N72">
        <v>15.391240837331551</v>
      </c>
      <c r="O72">
        <v>30.443756449948403</v>
      </c>
      <c r="P72">
        <v>0.37929783507557174</v>
      </c>
      <c r="Q72">
        <v>1.0207170606423899E-2</v>
      </c>
    </row>
    <row r="73" spans="1:17" x14ac:dyDescent="0.2">
      <c r="A73">
        <v>0.379</v>
      </c>
      <c r="B73">
        <f t="shared" si="19"/>
        <v>55.702527924750143</v>
      </c>
      <c r="C73">
        <v>0.20750000000000002</v>
      </c>
      <c r="D73">
        <f t="shared" si="20"/>
        <v>30.496766607877717</v>
      </c>
      <c r="E73">
        <v>7.0999999999999994E-2</v>
      </c>
      <c r="F73">
        <f t="shared" si="21"/>
        <v>10.435038212815989</v>
      </c>
      <c r="G73">
        <v>1.3999999999999999E-2</v>
      </c>
      <c r="H73">
        <f t="shared" si="22"/>
        <v>2.0576131687242798</v>
      </c>
      <c r="I73">
        <v>8.8000000000000005E-3</v>
      </c>
      <c r="J73">
        <f t="shared" si="23"/>
        <v>1.2933568489124045</v>
      </c>
      <c r="K73">
        <f t="shared" si="24"/>
        <v>99.372245914168118</v>
      </c>
      <c r="L73">
        <v>0.6804</v>
      </c>
      <c r="M73" s="8" t="s">
        <v>285</v>
      </c>
      <c r="N73">
        <v>12.846753071278609</v>
      </c>
      <c r="O73">
        <v>35.183695360686521</v>
      </c>
      <c r="P73">
        <v>0.30921045793751428</v>
      </c>
      <c r="Q73">
        <v>2.7766229446858044E-2</v>
      </c>
    </row>
    <row r="74" spans="1:17" x14ac:dyDescent="0.2">
      <c r="M74" t="s">
        <v>277</v>
      </c>
      <c r="N74">
        <v>13.349709931676877</v>
      </c>
      <c r="O74">
        <v>28.522240833798623</v>
      </c>
      <c r="P74">
        <v>0.35846387313219463</v>
      </c>
      <c r="Q74">
        <v>5.499457985029204E-2</v>
      </c>
    </row>
    <row r="75" spans="1:17" x14ac:dyDescent="0.2">
      <c r="M75" t="s">
        <v>290</v>
      </c>
      <c r="N75">
        <v>12.506557868707795</v>
      </c>
      <c r="O75">
        <v>37.14047724043315</v>
      </c>
      <c r="P75">
        <v>0.30492901080114465</v>
      </c>
      <c r="Q75">
        <v>1.2916732569465871E-2</v>
      </c>
    </row>
    <row r="76" spans="1:17" x14ac:dyDescent="0.2">
      <c r="C76">
        <v>1988</v>
      </c>
      <c r="D76">
        <v>2002</v>
      </c>
      <c r="E76">
        <v>2009</v>
      </c>
      <c r="F76">
        <v>2014</v>
      </c>
      <c r="G76">
        <v>2018</v>
      </c>
    </row>
    <row r="77" spans="1:17" x14ac:dyDescent="0.2">
      <c r="A77">
        <v>1976</v>
      </c>
      <c r="C77" t="s">
        <v>196</v>
      </c>
    </row>
    <row r="78" spans="1:17" x14ac:dyDescent="0.2">
      <c r="A78">
        <v>10276.320000000002</v>
      </c>
      <c r="B78" t="s">
        <v>95</v>
      </c>
      <c r="C78">
        <v>9402.264000000001</v>
      </c>
      <c r="D78">
        <v>10505.391208888888</v>
      </c>
      <c r="E78">
        <v>7492.6493155555563</v>
      </c>
      <c r="F78">
        <v>7883.9156000000021</v>
      </c>
      <c r="G78">
        <v>7675.0079999999998</v>
      </c>
    </row>
    <row r="79" spans="1:17" x14ac:dyDescent="0.2">
      <c r="A79">
        <v>17703.900000000001</v>
      </c>
      <c r="B79" t="s">
        <v>172</v>
      </c>
      <c r="C79">
        <v>20761.199999999997</v>
      </c>
      <c r="D79">
        <v>27534.438799999996</v>
      </c>
      <c r="E79">
        <v>18159.22650666667</v>
      </c>
      <c r="F79">
        <v>16073.023999999996</v>
      </c>
      <c r="G79">
        <v>17825.507333333331</v>
      </c>
    </row>
    <row r="80" spans="1:17" x14ac:dyDescent="0.2">
      <c r="A80">
        <v>328861.2</v>
      </c>
      <c r="B80" t="s">
        <v>173</v>
      </c>
      <c r="C80">
        <v>43420.647111111124</v>
      </c>
      <c r="D80">
        <v>48955.984000000011</v>
      </c>
      <c r="E80">
        <v>36896.504088888891</v>
      </c>
      <c r="F80">
        <v>30420.793333333331</v>
      </c>
      <c r="G80">
        <v>37160.950444444446</v>
      </c>
    </row>
    <row r="81" spans="1:7" x14ac:dyDescent="0.2">
      <c r="A81">
        <v>61430.400000000001</v>
      </c>
      <c r="B81" t="s">
        <v>104</v>
      </c>
      <c r="C81">
        <v>73584.111111111124</v>
      </c>
      <c r="D81">
        <v>86995.814008888905</v>
      </c>
      <c r="E81">
        <v>62548.379911111115</v>
      </c>
      <c r="F81">
        <v>54377.732933333333</v>
      </c>
      <c r="G81">
        <v>62661.465777777776</v>
      </c>
    </row>
    <row r="84" spans="1:7" x14ac:dyDescent="0.2">
      <c r="A84" s="2" t="s">
        <v>362</v>
      </c>
      <c r="B84" s="2"/>
      <c r="C84" s="2"/>
      <c r="D84" s="2"/>
      <c r="E84" s="2"/>
      <c r="F84" s="2"/>
      <c r="G84" s="2"/>
    </row>
    <row r="85" spans="1:7" x14ac:dyDescent="0.2">
      <c r="A85" s="2" t="s">
        <v>363</v>
      </c>
      <c r="B85" s="2"/>
      <c r="C85" s="2"/>
      <c r="D85" s="2"/>
      <c r="E85" s="2"/>
      <c r="F85" s="2"/>
      <c r="G85" s="2"/>
    </row>
    <row r="86" spans="1:7" x14ac:dyDescent="0.2">
      <c r="A86" s="2">
        <v>1988</v>
      </c>
      <c r="B86" s="2">
        <v>1997</v>
      </c>
      <c r="C86" s="2">
        <v>2009</v>
      </c>
      <c r="D86" s="2">
        <v>2014</v>
      </c>
      <c r="E86" s="2">
        <v>2018</v>
      </c>
      <c r="F86" s="2"/>
      <c r="G86" s="2"/>
    </row>
    <row r="87" spans="1:7" x14ac:dyDescent="0.2">
      <c r="A87" s="2">
        <v>13.07</v>
      </c>
      <c r="B87" s="2">
        <v>10.6</v>
      </c>
      <c r="C87" s="2">
        <v>11.4</v>
      </c>
      <c r="D87" s="2">
        <v>10.4</v>
      </c>
      <c r="E87" s="2">
        <v>12.17</v>
      </c>
      <c r="F87" s="2"/>
      <c r="G87" s="2"/>
    </row>
    <row r="88" spans="1:7" x14ac:dyDescent="0.2">
      <c r="A88" s="2">
        <v>13.08</v>
      </c>
      <c r="B88" s="2">
        <v>11.1</v>
      </c>
      <c r="C88" s="2">
        <v>9</v>
      </c>
      <c r="D88" s="2">
        <v>10.5</v>
      </c>
      <c r="E88" s="2">
        <v>12.04</v>
      </c>
      <c r="F88" s="2"/>
      <c r="G88" s="2"/>
    </row>
    <row r="89" spans="1:7" x14ac:dyDescent="0.2">
      <c r="A89" s="2">
        <v>13.6</v>
      </c>
      <c r="B89" s="2">
        <v>9.6</v>
      </c>
      <c r="C89" s="2">
        <v>8</v>
      </c>
      <c r="D89" s="2">
        <v>9.4</v>
      </c>
      <c r="E89" s="2">
        <v>8.31</v>
      </c>
      <c r="F89" s="2"/>
      <c r="G89" s="2"/>
    </row>
    <row r="90" spans="1:7" x14ac:dyDescent="0.2">
      <c r="A90" s="2">
        <v>13.85</v>
      </c>
      <c r="B90" s="2">
        <v>10.8</v>
      </c>
      <c r="C90" s="2">
        <v>8.07</v>
      </c>
      <c r="D90" s="2">
        <v>10.3</v>
      </c>
      <c r="E90" s="2">
        <v>8.93</v>
      </c>
      <c r="F90" s="2"/>
      <c r="G90" s="2"/>
    </row>
    <row r="91" spans="1:7" x14ac:dyDescent="0.2">
      <c r="A91" s="2">
        <v>13.38</v>
      </c>
      <c r="B91" s="2"/>
      <c r="C91" s="2">
        <v>12.3</v>
      </c>
      <c r="D91" s="2"/>
      <c r="E91" s="2"/>
      <c r="F91" s="2"/>
      <c r="G91" s="2"/>
    </row>
    <row r="92" spans="1:7" x14ac:dyDescent="0.2">
      <c r="A92" s="2">
        <v>13.38</v>
      </c>
      <c r="B92" s="2"/>
      <c r="C92" s="2">
        <v>8.4</v>
      </c>
      <c r="D92" s="2"/>
      <c r="E92" s="2"/>
      <c r="F92" s="2"/>
      <c r="G92" s="2"/>
    </row>
    <row r="93" spans="1:7" x14ac:dyDescent="0.2">
      <c r="A93" s="2"/>
      <c r="B93" s="2"/>
      <c r="C93" s="2"/>
      <c r="D93" s="2"/>
      <c r="E93" s="2"/>
      <c r="F93" s="2"/>
      <c r="G93" s="2"/>
    </row>
    <row r="94" spans="1:7" x14ac:dyDescent="0.2">
      <c r="A94" s="2">
        <f>AVERAGE(A87:A92)</f>
        <v>13.393333333333333</v>
      </c>
      <c r="B94" s="2">
        <f t="shared" ref="B94" si="25">AVERAGE(B87:B92)</f>
        <v>10.524999999999999</v>
      </c>
      <c r="C94" s="2">
        <f t="shared" ref="C94" si="26">AVERAGE(C87:C92)</f>
        <v>9.5283333333333324</v>
      </c>
      <c r="D94" s="2">
        <f>AVERAGE(D87:D92)</f>
        <v>10.149999999999999</v>
      </c>
      <c r="E94" s="2">
        <f>AVERAGE(E87:E92)</f>
        <v>10.362500000000001</v>
      </c>
      <c r="F94" s="2" t="s">
        <v>135</v>
      </c>
      <c r="G94" s="2" t="s">
        <v>371</v>
      </c>
    </row>
    <row r="95" spans="1:7" x14ac:dyDescent="0.2">
      <c r="A95" s="2">
        <f>STDEV(A87:A92)</f>
        <v>0.30144098372097067</v>
      </c>
      <c r="B95" s="2">
        <f t="shared" ref="B95" si="27">STDEV(B87:B92)</f>
        <v>0.65000000000000024</v>
      </c>
      <c r="C95" s="2">
        <f t="shared" ref="C95" si="28">STDEV(C87:C92)</f>
        <v>1.8547281921259249</v>
      </c>
      <c r="D95" s="2">
        <f>STDEV(D87:D92)</f>
        <v>0.50662280511902202</v>
      </c>
      <c r="E95" s="2">
        <f>STDEV(E87:E92)</f>
        <v>2.0286181667989274</v>
      </c>
      <c r="F95" s="2" t="s">
        <v>86</v>
      </c>
      <c r="G95" s="2"/>
    </row>
    <row r="96" spans="1:7" x14ac:dyDescent="0.2">
      <c r="A96" t="s">
        <v>367</v>
      </c>
      <c r="B96">
        <f>A94-E94</f>
        <v>3.0308333333333319</v>
      </c>
      <c r="C96" t="s">
        <v>368</v>
      </c>
      <c r="E96" s="5">
        <v>0.22500000000000001</v>
      </c>
      <c r="F96" t="s">
        <v>369</v>
      </c>
    </row>
    <row r="98" spans="1:7" x14ac:dyDescent="0.2">
      <c r="A98" t="s">
        <v>364</v>
      </c>
    </row>
    <row r="99" spans="1:7" x14ac:dyDescent="0.2">
      <c r="A99">
        <v>1988</v>
      </c>
      <c r="B99">
        <v>1997</v>
      </c>
      <c r="C99">
        <v>2009</v>
      </c>
      <c r="D99">
        <v>2014</v>
      </c>
      <c r="E99">
        <v>2018</v>
      </c>
    </row>
    <row r="100" spans="1:7" x14ac:dyDescent="0.2">
      <c r="A100">
        <v>2.56</v>
      </c>
      <c r="B100">
        <v>1.9</v>
      </c>
      <c r="C100">
        <v>1.6</v>
      </c>
      <c r="D100">
        <v>1.8</v>
      </c>
      <c r="E100">
        <v>1.8</v>
      </c>
    </row>
    <row r="101" spans="1:7" x14ac:dyDescent="0.2">
      <c r="A101">
        <v>2.52</v>
      </c>
      <c r="B101">
        <v>2.2000000000000002</v>
      </c>
      <c r="C101">
        <v>1.41</v>
      </c>
      <c r="D101">
        <v>1.5</v>
      </c>
      <c r="E101">
        <v>1.6</v>
      </c>
    </row>
    <row r="102" spans="1:7" x14ac:dyDescent="0.2">
      <c r="A102">
        <v>2.6</v>
      </c>
      <c r="B102">
        <v>1.7</v>
      </c>
      <c r="C102">
        <v>1.33</v>
      </c>
      <c r="D102">
        <v>1.7</v>
      </c>
      <c r="E102">
        <v>1.5</v>
      </c>
    </row>
    <row r="103" spans="1:7" x14ac:dyDescent="0.2">
      <c r="A103">
        <v>2.5</v>
      </c>
      <c r="B103">
        <v>1.9</v>
      </c>
      <c r="C103">
        <v>1.41</v>
      </c>
      <c r="D103">
        <v>1.5</v>
      </c>
      <c r="E103">
        <v>1.6</v>
      </c>
    </row>
    <row r="104" spans="1:7" x14ac:dyDescent="0.2">
      <c r="A104">
        <v>2.2000000000000002</v>
      </c>
      <c r="B104">
        <v>1.9</v>
      </c>
      <c r="C104">
        <v>1.43</v>
      </c>
      <c r="D104">
        <v>1.4</v>
      </c>
    </row>
    <row r="105" spans="1:7" x14ac:dyDescent="0.2">
      <c r="A105">
        <v>1.99</v>
      </c>
      <c r="C105">
        <v>1.1599999999999999</v>
      </c>
      <c r="D105">
        <v>1.5</v>
      </c>
    </row>
    <row r="107" spans="1:7" x14ac:dyDescent="0.2">
      <c r="A107" s="2">
        <f>AVERAGE(A100:A105)</f>
        <v>2.395</v>
      </c>
      <c r="B107" s="2">
        <f t="shared" ref="B107:C107" si="29">AVERAGE(B100:B105)</f>
        <v>1.92</v>
      </c>
      <c r="C107" s="2">
        <f t="shared" si="29"/>
        <v>1.39</v>
      </c>
      <c r="D107" s="2">
        <f>AVERAGE(D100:D105)</f>
        <v>1.5666666666666667</v>
      </c>
      <c r="E107" s="2">
        <f>AVERAGE(E100:E105)</f>
        <v>1.625</v>
      </c>
      <c r="F107" t="s">
        <v>135</v>
      </c>
      <c r="G107" t="s">
        <v>371</v>
      </c>
    </row>
    <row r="108" spans="1:7" x14ac:dyDescent="0.2">
      <c r="A108" s="2">
        <f>STDEV(A100:A105)</f>
        <v>0.24411063065749511</v>
      </c>
      <c r="B108" s="2">
        <f t="shared" ref="B108:C108" si="30">STDEV(B100:B105)</f>
        <v>0.17888543819998329</v>
      </c>
      <c r="C108" s="2">
        <f t="shared" si="30"/>
        <v>0.14352700094407325</v>
      </c>
      <c r="D108" s="2">
        <f>STDEV(D100:D105)</f>
        <v>0.15055453054181622</v>
      </c>
      <c r="E108" s="2">
        <f>STDEV(E100:E105)</f>
        <v>0.12583057392117916</v>
      </c>
      <c r="F108" t="s">
        <v>86</v>
      </c>
    </row>
    <row r="109" spans="1:7" x14ac:dyDescent="0.2">
      <c r="A109" t="s">
        <v>365</v>
      </c>
      <c r="B109">
        <f>A107-E107</f>
        <v>0.77</v>
      </c>
    </row>
    <row r="110" spans="1:7" x14ac:dyDescent="0.2">
      <c r="A110" t="s">
        <v>366</v>
      </c>
      <c r="B110" s="11">
        <v>0.32</v>
      </c>
      <c r="D110" t="s">
        <v>370</v>
      </c>
    </row>
    <row r="112" spans="1:7" x14ac:dyDescent="0.2">
      <c r="C112" t="s">
        <v>447</v>
      </c>
    </row>
    <row r="113" spans="1:18" x14ac:dyDescent="0.2">
      <c r="B113" s="2" t="s">
        <v>526</v>
      </c>
      <c r="C113" s="2">
        <v>1988</v>
      </c>
      <c r="D113">
        <v>1993</v>
      </c>
      <c r="E113">
        <v>1997</v>
      </c>
      <c r="F113">
        <v>1988</v>
      </c>
      <c r="G113">
        <v>1997</v>
      </c>
      <c r="H113">
        <v>1988</v>
      </c>
      <c r="I113">
        <v>1993</v>
      </c>
      <c r="J113">
        <v>1997</v>
      </c>
      <c r="L113" s="2"/>
      <c r="M113" s="2"/>
      <c r="N113">
        <v>1993</v>
      </c>
      <c r="P113" s="2">
        <v>1997</v>
      </c>
      <c r="Q113" s="2"/>
      <c r="R113" s="2"/>
    </row>
    <row r="114" spans="1:18" x14ac:dyDescent="0.2">
      <c r="B114" s="2"/>
      <c r="C114" s="2" t="s">
        <v>108</v>
      </c>
      <c r="E114" s="2"/>
      <c r="F114" s="2" t="s">
        <v>109</v>
      </c>
      <c r="G114" s="2"/>
      <c r="H114" t="s">
        <v>110</v>
      </c>
      <c r="N114" s="2" t="s">
        <v>108</v>
      </c>
      <c r="O114" s="2" t="s">
        <v>110</v>
      </c>
      <c r="R114" s="2" t="s">
        <v>110</v>
      </c>
    </row>
    <row r="115" spans="1:18" x14ac:dyDescent="0.2">
      <c r="B115" s="2" t="s">
        <v>95</v>
      </c>
      <c r="C115" s="2" t="s">
        <v>390</v>
      </c>
      <c r="D115" s="2" t="s">
        <v>429</v>
      </c>
      <c r="E115" s="2" t="s">
        <v>442</v>
      </c>
      <c r="F115" s="2" t="s">
        <v>393</v>
      </c>
      <c r="G115" s="2" t="s">
        <v>384</v>
      </c>
      <c r="H115" s="2" t="s">
        <v>396</v>
      </c>
      <c r="I115" t="s">
        <v>435</v>
      </c>
      <c r="J115" s="2" t="s">
        <v>378</v>
      </c>
      <c r="N115" t="s">
        <v>429</v>
      </c>
    </row>
    <row r="116" spans="1:18" x14ac:dyDescent="0.2">
      <c r="B116" s="2" t="s">
        <v>172</v>
      </c>
      <c r="C116" s="2" t="s">
        <v>391</v>
      </c>
      <c r="D116" s="2" t="s">
        <v>430</v>
      </c>
      <c r="E116" s="2" t="s">
        <v>443</v>
      </c>
      <c r="F116" s="2" t="s">
        <v>394</v>
      </c>
      <c r="G116" s="2" t="s">
        <v>385</v>
      </c>
      <c r="H116" s="2" t="s">
        <v>398</v>
      </c>
      <c r="I116" t="s">
        <v>436</v>
      </c>
      <c r="J116" s="2" t="s">
        <v>379</v>
      </c>
      <c r="N116" t="s">
        <v>430</v>
      </c>
    </row>
    <row r="117" spans="1:18" x14ac:dyDescent="0.2">
      <c r="B117" s="2" t="s">
        <v>173</v>
      </c>
      <c r="C117" s="2" t="s">
        <v>392</v>
      </c>
      <c r="D117" s="2" t="s">
        <v>431</v>
      </c>
      <c r="E117" s="2" t="s">
        <v>444</v>
      </c>
      <c r="F117" s="2" t="s">
        <v>395</v>
      </c>
      <c r="G117" s="2" t="s">
        <v>386</v>
      </c>
      <c r="H117" s="2" t="s">
        <v>397</v>
      </c>
      <c r="I117" t="s">
        <v>437</v>
      </c>
      <c r="J117" s="2" t="s">
        <v>380</v>
      </c>
      <c r="N117" t="s">
        <v>431</v>
      </c>
    </row>
    <row r="118" spans="1:18" x14ac:dyDescent="0.2">
      <c r="B118" s="10" t="s">
        <v>285</v>
      </c>
      <c r="C118" s="2" t="s">
        <v>375</v>
      </c>
      <c r="D118" s="2" t="s">
        <v>432</v>
      </c>
      <c r="E118" s="2" t="s">
        <v>433</v>
      </c>
      <c r="F118" s="2" t="s">
        <v>399</v>
      </c>
      <c r="G118" s="2" t="s">
        <v>387</v>
      </c>
      <c r="H118" s="2" t="s">
        <v>402</v>
      </c>
      <c r="I118" t="s">
        <v>438</v>
      </c>
      <c r="J118" s="2" t="s">
        <v>381</v>
      </c>
      <c r="N118" t="s">
        <v>432</v>
      </c>
    </row>
    <row r="119" spans="1:18" x14ac:dyDescent="0.2">
      <c r="B119" s="2" t="s">
        <v>277</v>
      </c>
      <c r="C119" s="2" t="s">
        <v>376</v>
      </c>
      <c r="D119" s="2" t="s">
        <v>433</v>
      </c>
      <c r="E119" s="2" t="s">
        <v>445</v>
      </c>
      <c r="F119" s="2" t="s">
        <v>400</v>
      </c>
      <c r="G119" s="2" t="s">
        <v>388</v>
      </c>
      <c r="H119" s="2" t="s">
        <v>403</v>
      </c>
      <c r="I119" t="s">
        <v>439</v>
      </c>
      <c r="J119" s="2" t="s">
        <v>382</v>
      </c>
      <c r="N119" t="s">
        <v>433</v>
      </c>
    </row>
    <row r="120" spans="1:18" x14ac:dyDescent="0.2">
      <c r="B120" s="2" t="s">
        <v>290</v>
      </c>
      <c r="C120" s="2" t="s">
        <v>377</v>
      </c>
      <c r="D120" s="2" t="s">
        <v>434</v>
      </c>
      <c r="E120" s="2" t="s">
        <v>446</v>
      </c>
      <c r="F120" s="2" t="s">
        <v>401</v>
      </c>
      <c r="G120" s="2" t="s">
        <v>389</v>
      </c>
      <c r="H120" s="2" t="s">
        <v>404</v>
      </c>
      <c r="I120" t="s">
        <v>440</v>
      </c>
      <c r="J120" s="2" t="s">
        <v>383</v>
      </c>
      <c r="N120" t="s">
        <v>434</v>
      </c>
    </row>
    <row r="123" spans="1:18" x14ac:dyDescent="0.2">
      <c r="A123" t="s">
        <v>405</v>
      </c>
      <c r="C123" s="2" t="s">
        <v>522</v>
      </c>
    </row>
    <row r="124" spans="1:18" x14ac:dyDescent="0.2">
      <c r="B124" s="2"/>
      <c r="C124" s="2">
        <v>1988</v>
      </c>
      <c r="D124" s="2">
        <v>1997</v>
      </c>
      <c r="E124" s="2">
        <v>2009</v>
      </c>
      <c r="F124" s="2">
        <v>2014</v>
      </c>
      <c r="G124" s="2">
        <v>2018</v>
      </c>
      <c r="I124" t="s">
        <v>406</v>
      </c>
    </row>
    <row r="125" spans="1:18" x14ac:dyDescent="0.2">
      <c r="B125" s="2"/>
      <c r="C125" s="2">
        <v>44.5</v>
      </c>
      <c r="D125" s="2">
        <v>45</v>
      </c>
      <c r="E125" s="2">
        <v>32</v>
      </c>
      <c r="F125" s="2">
        <v>39</v>
      </c>
      <c r="G125" s="2">
        <v>31.4</v>
      </c>
      <c r="I125" t="s">
        <v>407</v>
      </c>
    </row>
    <row r="126" spans="1:18" x14ac:dyDescent="0.2">
      <c r="B126" s="2"/>
      <c r="C126" s="2">
        <v>43.8</v>
      </c>
      <c r="D126" s="2">
        <v>44</v>
      </c>
      <c r="E126" s="2">
        <v>35.6</v>
      </c>
      <c r="F126" s="2">
        <v>39</v>
      </c>
      <c r="G126" s="2">
        <v>35.6</v>
      </c>
      <c r="I126" t="s">
        <v>408</v>
      </c>
    </row>
    <row r="127" spans="1:18" x14ac:dyDescent="0.2">
      <c r="B127" s="2"/>
      <c r="C127" s="2">
        <v>43.4</v>
      </c>
      <c r="D127" s="2">
        <v>48</v>
      </c>
      <c r="E127" s="2">
        <v>39.700000000000003</v>
      </c>
      <c r="F127" s="2">
        <v>37</v>
      </c>
      <c r="G127" s="2">
        <v>31.6</v>
      </c>
      <c r="I127" t="s">
        <v>409</v>
      </c>
    </row>
    <row r="128" spans="1:18" x14ac:dyDescent="0.2">
      <c r="B128" s="2"/>
      <c r="C128" s="2">
        <v>41.8</v>
      </c>
      <c r="D128" s="2">
        <v>42</v>
      </c>
      <c r="E128" s="2">
        <v>39.4</v>
      </c>
      <c r="F128" s="2">
        <v>32</v>
      </c>
      <c r="G128" s="2">
        <v>28.8</v>
      </c>
    </row>
    <row r="129" spans="1:11" x14ac:dyDescent="0.2">
      <c r="B129" s="2"/>
      <c r="C129" s="2">
        <v>38.9</v>
      </c>
      <c r="D129" s="2">
        <v>42</v>
      </c>
      <c r="E129" s="2">
        <v>28.2</v>
      </c>
      <c r="F129" s="2">
        <v>34</v>
      </c>
      <c r="G129" s="2">
        <v>41</v>
      </c>
    </row>
    <row r="130" spans="1:11" x14ac:dyDescent="0.2">
      <c r="B130" s="2"/>
      <c r="C130" s="2">
        <v>38.9</v>
      </c>
      <c r="D130" s="2">
        <v>38</v>
      </c>
      <c r="E130" s="2">
        <v>31.8</v>
      </c>
      <c r="F130" s="2">
        <v>33</v>
      </c>
      <c r="G130" s="2">
        <v>40.700000000000003</v>
      </c>
    </row>
    <row r="131" spans="1:11" x14ac:dyDescent="0.2">
      <c r="B131" s="2"/>
      <c r="C131" s="2"/>
      <c r="D131" s="2"/>
      <c r="E131" s="2"/>
      <c r="F131" s="2"/>
      <c r="G131" s="2"/>
    </row>
    <row r="132" spans="1:11" x14ac:dyDescent="0.2">
      <c r="B132" s="2" t="s">
        <v>135</v>
      </c>
      <c r="C132" s="2">
        <f>AVERAGE(C125:C130)</f>
        <v>41.883333333333333</v>
      </c>
      <c r="D132" s="2">
        <f t="shared" ref="D132:G132" si="31">AVERAGE(D125:D130)</f>
        <v>43.166666666666664</v>
      </c>
      <c r="E132" s="2">
        <f t="shared" si="31"/>
        <v>34.449999999999996</v>
      </c>
      <c r="F132" s="2">
        <f t="shared" si="31"/>
        <v>35.666666666666664</v>
      </c>
      <c r="G132" s="2">
        <f t="shared" si="31"/>
        <v>34.849999999999994</v>
      </c>
      <c r="I132" t="s">
        <v>428</v>
      </c>
    </row>
    <row r="133" spans="1:11" x14ac:dyDescent="0.2">
      <c r="B133" s="2" t="s">
        <v>86</v>
      </c>
      <c r="C133" s="2">
        <f>STDEV(C125:C130)</f>
        <v>2.4750084174941036</v>
      </c>
      <c r="D133" s="2">
        <f t="shared" ref="D133:G133" si="32">STDEV(D125:D130)</f>
        <v>3.3714487489307423</v>
      </c>
      <c r="E133" s="2">
        <f t="shared" si="32"/>
        <v>4.5929293484659937</v>
      </c>
      <c r="F133" s="2">
        <f t="shared" si="32"/>
        <v>3.0767948691238205</v>
      </c>
      <c r="G133" s="2">
        <f t="shared" si="32"/>
        <v>5.1317638293281185</v>
      </c>
      <c r="I133" s="2">
        <f>(C132-G132)/C132</f>
        <v>0.16792678074015133</v>
      </c>
    </row>
    <row r="138" spans="1:11" x14ac:dyDescent="0.2">
      <c r="A138" t="s">
        <v>318</v>
      </c>
      <c r="B138">
        <v>1976</v>
      </c>
      <c r="C138">
        <v>1988</v>
      </c>
      <c r="E138">
        <v>1997</v>
      </c>
      <c r="F138">
        <v>2002</v>
      </c>
      <c r="G138">
        <v>2009</v>
      </c>
      <c r="H138">
        <v>2014</v>
      </c>
      <c r="I138">
        <v>2018</v>
      </c>
      <c r="J138">
        <v>2018</v>
      </c>
      <c r="K138" t="s">
        <v>3</v>
      </c>
    </row>
    <row r="139" spans="1:11" x14ac:dyDescent="0.2">
      <c r="A139" t="s">
        <v>305</v>
      </c>
      <c r="B139">
        <v>2.6</v>
      </c>
      <c r="C139">
        <v>2.4833333333333334</v>
      </c>
      <c r="E139">
        <v>1.6833333333333336</v>
      </c>
      <c r="F139">
        <v>1.26</v>
      </c>
      <c r="G139">
        <v>1.4466666666666665</v>
      </c>
      <c r="H139">
        <v>1.53</v>
      </c>
      <c r="I139">
        <v>1.8</v>
      </c>
      <c r="J139">
        <v>1.55</v>
      </c>
      <c r="K139">
        <f>AVERAGE(B139:J139)</f>
        <v>1.7941666666666669</v>
      </c>
    </row>
    <row r="140" spans="1:11" x14ac:dyDescent="0.2">
      <c r="A140" t="s">
        <v>306</v>
      </c>
      <c r="B140">
        <v>1.69</v>
      </c>
      <c r="C140">
        <v>2.3366666666666664</v>
      </c>
      <c r="E140">
        <v>1.9333333333333333</v>
      </c>
      <c r="F140">
        <v>0.93333333333333324</v>
      </c>
      <c r="G140">
        <v>1.3666666666666665</v>
      </c>
      <c r="H140">
        <v>1.55</v>
      </c>
      <c r="I140">
        <v>1.6</v>
      </c>
      <c r="J140">
        <v>2.0499999999999998</v>
      </c>
      <c r="K140">
        <f t="shared" ref="K140:K145" si="33">AVERAGE(B140:J140)</f>
        <v>1.6825000000000001</v>
      </c>
    </row>
    <row r="141" spans="1:11" x14ac:dyDescent="0.2">
      <c r="A141" t="s">
        <v>307</v>
      </c>
      <c r="B141">
        <v>1</v>
      </c>
      <c r="C141">
        <v>1.9333333333333336</v>
      </c>
      <c r="E141">
        <v>1.79</v>
      </c>
      <c r="F141">
        <v>0.66</v>
      </c>
      <c r="G141">
        <v>1.1933333333333334</v>
      </c>
      <c r="H141">
        <v>1.6</v>
      </c>
      <c r="I141">
        <v>1.95</v>
      </c>
      <c r="J141">
        <v>1.7</v>
      </c>
      <c r="K141">
        <f t="shared" si="33"/>
        <v>1.4783333333333333</v>
      </c>
    </row>
    <row r="142" spans="1:11" x14ac:dyDescent="0.2">
      <c r="A142" t="s">
        <v>285</v>
      </c>
      <c r="B142">
        <v>0.61</v>
      </c>
      <c r="C142">
        <v>1.41</v>
      </c>
      <c r="E142">
        <v>1.6533333333333335</v>
      </c>
      <c r="F142">
        <v>0.64349999999999996</v>
      </c>
      <c r="G142">
        <v>0.94</v>
      </c>
      <c r="H142">
        <v>1.115</v>
      </c>
      <c r="I142">
        <v>1.55</v>
      </c>
      <c r="J142">
        <v>0.92</v>
      </c>
      <c r="K142">
        <f t="shared" si="33"/>
        <v>1.1052291666666667</v>
      </c>
    </row>
    <row r="143" spans="1:11" x14ac:dyDescent="0.2">
      <c r="A143" t="s">
        <v>277</v>
      </c>
      <c r="C143">
        <v>0.99</v>
      </c>
      <c r="E143">
        <v>1.4766666666666668</v>
      </c>
      <c r="F143">
        <v>0.58250000000000002</v>
      </c>
      <c r="G143">
        <v>0.64500000000000002</v>
      </c>
      <c r="H143">
        <v>0.79500000000000004</v>
      </c>
      <c r="I143">
        <v>1</v>
      </c>
      <c r="J143">
        <v>1.7</v>
      </c>
      <c r="K143">
        <f t="shared" si="33"/>
        <v>1.0270238095238096</v>
      </c>
    </row>
    <row r="144" spans="1:11" x14ac:dyDescent="0.2">
      <c r="A144" t="s">
        <v>290</v>
      </c>
      <c r="C144">
        <v>0.67</v>
      </c>
      <c r="E144">
        <v>0.84333333333333327</v>
      </c>
      <c r="F144">
        <v>0.54</v>
      </c>
      <c r="G144">
        <v>0.47349999999999998</v>
      </c>
      <c r="H144">
        <v>0.74</v>
      </c>
      <c r="I144">
        <v>0.88</v>
      </c>
      <c r="J144">
        <v>0.76</v>
      </c>
      <c r="K144">
        <f t="shared" si="33"/>
        <v>0.70097619047619042</v>
      </c>
    </row>
    <row r="145" spans="1:11" x14ac:dyDescent="0.2">
      <c r="A145" t="s">
        <v>326</v>
      </c>
      <c r="B145">
        <v>1.4750000000000001</v>
      </c>
      <c r="C145">
        <v>1.6372222222222224</v>
      </c>
      <c r="E145">
        <v>1.5633333333333335</v>
      </c>
      <c r="F145">
        <v>0.76988888888888896</v>
      </c>
      <c r="G145">
        <v>1.0108611111111108</v>
      </c>
      <c r="H145">
        <v>1.2216666666666667</v>
      </c>
      <c r="I145">
        <v>1.4633333333333336</v>
      </c>
      <c r="J145">
        <v>1.4466666666666665</v>
      </c>
      <c r="K145">
        <f t="shared" si="33"/>
        <v>1.3234965277777779</v>
      </c>
    </row>
    <row r="146" spans="1:11" x14ac:dyDescent="0.2">
      <c r="A146" t="s">
        <v>320</v>
      </c>
      <c r="B146">
        <v>21.369999999999997</v>
      </c>
      <c r="C146">
        <v>52.343333333333334</v>
      </c>
      <c r="E146">
        <v>57.850000000000009</v>
      </c>
      <c r="F146">
        <v>26.28</v>
      </c>
      <c r="G146">
        <v>33.545000000000002</v>
      </c>
      <c r="H146">
        <v>42.21</v>
      </c>
      <c r="I146">
        <v>52.45</v>
      </c>
      <c r="J146">
        <v>51.550000000000004</v>
      </c>
    </row>
    <row r="147" spans="1:11" x14ac:dyDescent="0.2">
      <c r="A147" t="s">
        <v>3</v>
      </c>
      <c r="B147">
        <v>1.0684999999999998</v>
      </c>
      <c r="C147">
        <v>1.3085833333333334</v>
      </c>
      <c r="E147">
        <v>1.4462500000000003</v>
      </c>
      <c r="F147">
        <v>0.65700000000000003</v>
      </c>
      <c r="G147">
        <v>0.83862500000000006</v>
      </c>
      <c r="H147">
        <v>1.05525</v>
      </c>
      <c r="I147">
        <v>1.31125</v>
      </c>
      <c r="J147">
        <v>1.2887500000000001</v>
      </c>
      <c r="K147" t="s">
        <v>301</v>
      </c>
    </row>
    <row r="148" spans="1:11" x14ac:dyDescent="0.2">
      <c r="A148" t="s">
        <v>325</v>
      </c>
      <c r="B148">
        <v>1.5269999999999999</v>
      </c>
      <c r="C148">
        <v>2.1643333333333334</v>
      </c>
      <c r="E148">
        <v>1.8116666666666668</v>
      </c>
      <c r="F148">
        <v>0.8620000000000001</v>
      </c>
      <c r="G148">
        <v>1.2959999999999998</v>
      </c>
      <c r="H148">
        <v>1.5710000000000002</v>
      </c>
      <c r="I148">
        <v>1.8149999999999999</v>
      </c>
      <c r="J148">
        <v>1.7749999999999999</v>
      </c>
      <c r="K148" t="s">
        <v>104</v>
      </c>
    </row>
    <row r="149" spans="1:11" x14ac:dyDescent="0.2">
      <c r="A149" t="s">
        <v>410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66"/>
  <sheetViews>
    <sheetView workbookViewId="0">
      <selection activeCell="N3" sqref="N3"/>
    </sheetView>
  </sheetViews>
  <sheetFormatPr baseColWidth="10" defaultColWidth="8.83203125" defaultRowHeight="15" x14ac:dyDescent="0.2"/>
  <sheetData>
    <row r="1" spans="1:18" x14ac:dyDescent="0.2">
      <c r="A1" s="2" t="s">
        <v>524</v>
      </c>
      <c r="B1" s="2"/>
      <c r="C1" s="2"/>
      <c r="D1" s="2"/>
      <c r="E1" s="2"/>
      <c r="F1" s="2" t="s">
        <v>525</v>
      </c>
      <c r="G1" s="2"/>
      <c r="H1" s="2"/>
      <c r="I1" s="2"/>
      <c r="J1" s="2"/>
    </row>
    <row r="2" spans="1:18" x14ac:dyDescent="0.2">
      <c r="A2" t="s">
        <v>405</v>
      </c>
      <c r="C2" s="2" t="s">
        <v>522</v>
      </c>
      <c r="N2" t="s">
        <v>694</v>
      </c>
    </row>
    <row r="3" spans="1:18" x14ac:dyDescent="0.2">
      <c r="B3" s="2"/>
      <c r="C3" s="2">
        <v>1988</v>
      </c>
      <c r="D3" s="2">
        <v>1997</v>
      </c>
      <c r="E3" s="2">
        <v>2009</v>
      </c>
      <c r="F3" s="2">
        <v>2014</v>
      </c>
      <c r="G3" s="2">
        <v>2018</v>
      </c>
      <c r="I3" t="s">
        <v>406</v>
      </c>
    </row>
    <row r="4" spans="1:18" x14ac:dyDescent="0.2">
      <c r="B4" s="2"/>
      <c r="C4" s="2">
        <v>44.5</v>
      </c>
      <c r="D4" s="2">
        <v>45</v>
      </c>
      <c r="E4" s="2">
        <v>32</v>
      </c>
      <c r="F4" s="2">
        <v>39</v>
      </c>
      <c r="G4" s="2">
        <v>31.4</v>
      </c>
      <c r="I4" t="s">
        <v>407</v>
      </c>
      <c r="N4">
        <f>C4*4.4</f>
        <v>195.8</v>
      </c>
      <c r="O4">
        <f t="shared" ref="O4:R9" si="0">D4*4.4</f>
        <v>198.00000000000003</v>
      </c>
      <c r="P4">
        <f t="shared" si="0"/>
        <v>140.80000000000001</v>
      </c>
      <c r="Q4">
        <f t="shared" si="0"/>
        <v>171.60000000000002</v>
      </c>
      <c r="R4">
        <f t="shared" si="0"/>
        <v>138.16</v>
      </c>
    </row>
    <row r="5" spans="1:18" x14ac:dyDescent="0.2">
      <c r="B5" s="2"/>
      <c r="C5" s="2">
        <v>43.8</v>
      </c>
      <c r="D5" s="2">
        <v>44</v>
      </c>
      <c r="E5" s="2">
        <v>35.6</v>
      </c>
      <c r="F5" s="2">
        <v>39</v>
      </c>
      <c r="G5" s="2">
        <v>35.6</v>
      </c>
      <c r="I5" t="s">
        <v>408</v>
      </c>
      <c r="N5">
        <f t="shared" ref="N5:N9" si="1">C5*4.4</f>
        <v>192.72</v>
      </c>
      <c r="O5">
        <f t="shared" si="0"/>
        <v>193.60000000000002</v>
      </c>
      <c r="P5">
        <f t="shared" si="0"/>
        <v>156.64000000000001</v>
      </c>
      <c r="Q5">
        <f t="shared" si="0"/>
        <v>171.60000000000002</v>
      </c>
      <c r="R5">
        <f t="shared" si="0"/>
        <v>156.64000000000001</v>
      </c>
    </row>
    <row r="6" spans="1:18" x14ac:dyDescent="0.2">
      <c r="B6" s="2"/>
      <c r="C6" s="2">
        <v>43.4</v>
      </c>
      <c r="D6" s="2">
        <v>48</v>
      </c>
      <c r="E6" s="2">
        <v>39.700000000000003</v>
      </c>
      <c r="F6" s="2">
        <v>37</v>
      </c>
      <c r="G6" s="2">
        <v>31.6</v>
      </c>
      <c r="I6" t="s">
        <v>409</v>
      </c>
      <c r="N6">
        <f t="shared" si="1"/>
        <v>190.96</v>
      </c>
      <c r="O6">
        <f t="shared" si="0"/>
        <v>211.20000000000002</v>
      </c>
      <c r="P6">
        <f t="shared" si="0"/>
        <v>174.68000000000004</v>
      </c>
      <c r="Q6">
        <f t="shared" si="0"/>
        <v>162.80000000000001</v>
      </c>
      <c r="R6">
        <f t="shared" si="0"/>
        <v>139.04000000000002</v>
      </c>
    </row>
    <row r="7" spans="1:18" x14ac:dyDescent="0.2">
      <c r="B7" s="2"/>
      <c r="C7" s="2">
        <v>41.8</v>
      </c>
      <c r="D7" s="2">
        <v>42</v>
      </c>
      <c r="E7" s="2">
        <v>39.4</v>
      </c>
      <c r="F7" s="2">
        <v>32</v>
      </c>
      <c r="G7" s="2">
        <v>28.8</v>
      </c>
      <c r="N7">
        <f t="shared" si="1"/>
        <v>183.92000000000002</v>
      </c>
      <c r="O7">
        <f t="shared" si="0"/>
        <v>184.8</v>
      </c>
      <c r="P7">
        <f t="shared" si="0"/>
        <v>173.36</v>
      </c>
      <c r="Q7">
        <f t="shared" si="0"/>
        <v>140.80000000000001</v>
      </c>
      <c r="R7">
        <f t="shared" si="0"/>
        <v>126.72000000000001</v>
      </c>
    </row>
    <row r="8" spans="1:18" x14ac:dyDescent="0.2">
      <c r="B8" s="2"/>
      <c r="C8" s="2">
        <v>38.9</v>
      </c>
      <c r="D8" s="2">
        <v>42</v>
      </c>
      <c r="E8" s="2">
        <v>28.2</v>
      </c>
      <c r="F8" s="2">
        <v>34</v>
      </c>
      <c r="G8" s="2">
        <v>41</v>
      </c>
      <c r="N8">
        <f t="shared" si="1"/>
        <v>171.16</v>
      </c>
      <c r="O8">
        <f t="shared" si="0"/>
        <v>184.8</v>
      </c>
      <c r="P8">
        <f t="shared" si="0"/>
        <v>124.08000000000001</v>
      </c>
      <c r="Q8">
        <f t="shared" si="0"/>
        <v>149.60000000000002</v>
      </c>
      <c r="R8">
        <f t="shared" si="0"/>
        <v>180.4</v>
      </c>
    </row>
    <row r="9" spans="1:18" x14ac:dyDescent="0.2">
      <c r="B9" s="2"/>
      <c r="C9" s="2">
        <v>38.9</v>
      </c>
      <c r="D9" s="2">
        <v>38</v>
      </c>
      <c r="E9" s="2">
        <v>31.8</v>
      </c>
      <c r="F9" s="2">
        <v>33</v>
      </c>
      <c r="G9" s="2">
        <v>40.700000000000003</v>
      </c>
      <c r="N9">
        <f t="shared" si="1"/>
        <v>171.16</v>
      </c>
      <c r="O9">
        <f t="shared" si="0"/>
        <v>167.20000000000002</v>
      </c>
      <c r="P9">
        <f t="shared" si="0"/>
        <v>139.92000000000002</v>
      </c>
      <c r="Q9">
        <f t="shared" si="0"/>
        <v>145.20000000000002</v>
      </c>
      <c r="R9">
        <f t="shared" si="0"/>
        <v>179.08000000000004</v>
      </c>
    </row>
    <row r="10" spans="1:18" x14ac:dyDescent="0.2">
      <c r="B10" s="2"/>
      <c r="C10" s="2"/>
      <c r="D10" s="2"/>
      <c r="E10" s="2"/>
      <c r="F10" s="2"/>
      <c r="G10" s="2"/>
    </row>
    <row r="11" spans="1:18" x14ac:dyDescent="0.2">
      <c r="B11" s="2" t="s">
        <v>135</v>
      </c>
      <c r="C11" s="2">
        <f>AVERAGE(C4:C9)</f>
        <v>41.883333333333333</v>
      </c>
      <c r="D11" s="2">
        <f t="shared" ref="D11:G11" si="2">AVERAGE(D4:D9)</f>
        <v>43.166666666666664</v>
      </c>
      <c r="E11" s="2">
        <f t="shared" si="2"/>
        <v>34.449999999999996</v>
      </c>
      <c r="F11" s="2">
        <f t="shared" si="2"/>
        <v>35.666666666666664</v>
      </c>
      <c r="G11" s="2">
        <f t="shared" si="2"/>
        <v>34.849999999999994</v>
      </c>
      <c r="H11" t="s">
        <v>523</v>
      </c>
      <c r="I11" t="s">
        <v>428</v>
      </c>
      <c r="M11" t="s">
        <v>539</v>
      </c>
    </row>
    <row r="12" spans="1:18" x14ac:dyDescent="0.2">
      <c r="B12" s="2" t="s">
        <v>86</v>
      </c>
      <c r="C12" s="2">
        <f>STDEV(C4:C9)</f>
        <v>2.4750084174941036</v>
      </c>
      <c r="D12" s="2">
        <f t="shared" ref="D12:G12" si="3">STDEV(D4:D9)</f>
        <v>3.3714487489307423</v>
      </c>
      <c r="E12" s="2">
        <f t="shared" si="3"/>
        <v>4.5929293484659937</v>
      </c>
      <c r="F12" s="2">
        <f t="shared" si="3"/>
        <v>3.0767948691238205</v>
      </c>
      <c r="G12" s="2">
        <f t="shared" si="3"/>
        <v>5.1317638293281185</v>
      </c>
      <c r="I12" s="2">
        <f>(C11-G11)/C11</f>
        <v>0.16792678074015133</v>
      </c>
    </row>
    <row r="13" spans="1:18" x14ac:dyDescent="0.2">
      <c r="I13" s="4">
        <v>0.16800000000000001</v>
      </c>
    </row>
    <row r="15" spans="1:18" x14ac:dyDescent="0.2">
      <c r="A15" t="s">
        <v>364</v>
      </c>
    </row>
    <row r="16" spans="1:18" x14ac:dyDescent="0.2">
      <c r="A16">
        <v>1988</v>
      </c>
      <c r="B16">
        <v>1997</v>
      </c>
      <c r="C16">
        <v>2009</v>
      </c>
      <c r="D16">
        <v>2014</v>
      </c>
      <c r="E16">
        <v>2018</v>
      </c>
    </row>
    <row r="17" spans="1:15" x14ac:dyDescent="0.2">
      <c r="A17">
        <v>2.56</v>
      </c>
      <c r="B17">
        <v>1.9</v>
      </c>
      <c r="C17">
        <v>1.6</v>
      </c>
      <c r="D17">
        <v>1.8</v>
      </c>
      <c r="E17">
        <v>1.8</v>
      </c>
    </row>
    <row r="18" spans="1:15" x14ac:dyDescent="0.2">
      <c r="A18">
        <v>2.52</v>
      </c>
      <c r="B18">
        <v>2.2000000000000002</v>
      </c>
      <c r="C18">
        <v>1.41</v>
      </c>
      <c r="D18">
        <v>1.5</v>
      </c>
      <c r="E18">
        <v>1.6</v>
      </c>
      <c r="O18">
        <f>C4/(A17*0.44)</f>
        <v>39.50639204545454</v>
      </c>
    </row>
    <row r="19" spans="1:15" x14ac:dyDescent="0.2">
      <c r="A19">
        <v>2.6</v>
      </c>
      <c r="B19">
        <v>1.7</v>
      </c>
      <c r="C19">
        <v>1.33</v>
      </c>
      <c r="D19">
        <v>1.7</v>
      </c>
      <c r="E19">
        <v>1.5</v>
      </c>
    </row>
    <row r="20" spans="1:15" x14ac:dyDescent="0.2">
      <c r="A20">
        <v>2.5</v>
      </c>
      <c r="B20">
        <v>1.9</v>
      </c>
      <c r="C20">
        <v>1.41</v>
      </c>
      <c r="D20">
        <v>1.5</v>
      </c>
      <c r="E20">
        <v>1.6</v>
      </c>
    </row>
    <row r="21" spans="1:15" x14ac:dyDescent="0.2">
      <c r="A21">
        <v>2.2000000000000002</v>
      </c>
      <c r="B21">
        <v>1.9</v>
      </c>
      <c r="C21">
        <v>1.43</v>
      </c>
      <c r="D21">
        <v>1.4</v>
      </c>
    </row>
    <row r="22" spans="1:15" x14ac:dyDescent="0.2">
      <c r="A22">
        <v>1.99</v>
      </c>
      <c r="C22">
        <v>1.1599999999999999</v>
      </c>
      <c r="D22">
        <v>1.5</v>
      </c>
    </row>
    <row r="24" spans="1:15" x14ac:dyDescent="0.2">
      <c r="A24" s="2">
        <v>2.395</v>
      </c>
      <c r="B24" s="2">
        <v>1.92</v>
      </c>
      <c r="C24" s="2">
        <v>1.39</v>
      </c>
      <c r="D24" s="2">
        <v>1.5666666666666667</v>
      </c>
      <c r="E24" s="2">
        <v>1.625</v>
      </c>
      <c r="F24" s="2" t="s">
        <v>135</v>
      </c>
      <c r="G24" s="2" t="s">
        <v>371</v>
      </c>
      <c r="I24" s="3">
        <v>0.32</v>
      </c>
      <c r="M24" t="s">
        <v>539</v>
      </c>
    </row>
    <row r="25" spans="1:15" x14ac:dyDescent="0.2">
      <c r="A25" s="2">
        <v>0.24411063065749511</v>
      </c>
      <c r="B25" s="2">
        <v>0.17888543819998329</v>
      </c>
      <c r="C25" s="2">
        <v>0.14352700094407325</v>
      </c>
      <c r="D25" s="2">
        <v>0.15055453054181622</v>
      </c>
      <c r="E25" s="2">
        <v>0.12583057392117916</v>
      </c>
      <c r="F25" s="2" t="s">
        <v>86</v>
      </c>
      <c r="G25" s="2"/>
    </row>
    <row r="26" spans="1:15" x14ac:dyDescent="0.2">
      <c r="A26" t="s">
        <v>365</v>
      </c>
      <c r="B26">
        <v>0.77</v>
      </c>
    </row>
    <row r="27" spans="1:15" x14ac:dyDescent="0.2">
      <c r="A27" t="s">
        <v>366</v>
      </c>
      <c r="B27">
        <v>0.32</v>
      </c>
      <c r="D27" t="s">
        <v>370</v>
      </c>
    </row>
    <row r="30" spans="1:15" x14ac:dyDescent="0.2">
      <c r="A30" s="2" t="s">
        <v>362</v>
      </c>
      <c r="B30" s="2"/>
      <c r="C30" s="2"/>
      <c r="D30" s="2"/>
      <c r="E30" s="2"/>
      <c r="F30" s="2"/>
      <c r="G30" s="2"/>
    </row>
    <row r="31" spans="1:15" x14ac:dyDescent="0.2">
      <c r="A31" s="2" t="s">
        <v>363</v>
      </c>
      <c r="B31" s="2"/>
      <c r="C31" s="2"/>
      <c r="D31" s="2"/>
      <c r="E31" s="2"/>
      <c r="F31" s="2"/>
      <c r="G31" s="2"/>
    </row>
    <row r="32" spans="1:15" x14ac:dyDescent="0.2">
      <c r="A32" s="2">
        <v>1988</v>
      </c>
      <c r="B32" s="2">
        <v>1997</v>
      </c>
      <c r="C32" s="2">
        <v>2009</v>
      </c>
      <c r="D32" s="2">
        <v>2014</v>
      </c>
      <c r="E32" s="2">
        <v>2018</v>
      </c>
      <c r="F32" s="2"/>
      <c r="G32" s="2"/>
    </row>
    <row r="33" spans="1:13" x14ac:dyDescent="0.2">
      <c r="A33" s="2">
        <v>13.07</v>
      </c>
      <c r="B33" s="2">
        <v>10.6</v>
      </c>
      <c r="C33" s="2">
        <v>11.4</v>
      </c>
      <c r="D33" s="2">
        <v>10.4</v>
      </c>
      <c r="E33" s="2">
        <v>12.17</v>
      </c>
      <c r="F33" s="2"/>
      <c r="G33" s="2"/>
    </row>
    <row r="34" spans="1:13" x14ac:dyDescent="0.2">
      <c r="A34" s="2">
        <v>13.08</v>
      </c>
      <c r="B34" s="2">
        <v>11.1</v>
      </c>
      <c r="C34" s="2">
        <v>9</v>
      </c>
      <c r="D34" s="2">
        <v>10.5</v>
      </c>
      <c r="E34" s="2">
        <v>12.04</v>
      </c>
      <c r="F34" s="2"/>
      <c r="G34" s="2"/>
    </row>
    <row r="35" spans="1:13" x14ac:dyDescent="0.2">
      <c r="A35" s="2">
        <v>13.6</v>
      </c>
      <c r="B35" s="2">
        <v>9.6</v>
      </c>
      <c r="C35" s="2">
        <v>8</v>
      </c>
      <c r="D35" s="2">
        <v>9.4</v>
      </c>
      <c r="E35" s="2">
        <v>8.31</v>
      </c>
      <c r="F35" s="2"/>
      <c r="G35" s="2"/>
    </row>
    <row r="36" spans="1:13" x14ac:dyDescent="0.2">
      <c r="A36" s="2">
        <v>13.85</v>
      </c>
      <c r="B36" s="2">
        <v>10.8</v>
      </c>
      <c r="C36" s="2">
        <v>8.07</v>
      </c>
      <c r="D36" s="2">
        <v>10.3</v>
      </c>
      <c r="E36" s="2">
        <v>8.93</v>
      </c>
      <c r="F36" s="2"/>
      <c r="G36" s="2"/>
    </row>
    <row r="37" spans="1:13" x14ac:dyDescent="0.2">
      <c r="A37" s="2">
        <v>13.38</v>
      </c>
      <c r="B37" s="2"/>
      <c r="C37" s="2">
        <v>12.3</v>
      </c>
      <c r="D37" s="2"/>
      <c r="E37" s="2"/>
      <c r="F37" s="2"/>
      <c r="G37" s="2"/>
    </row>
    <row r="38" spans="1:13" x14ac:dyDescent="0.2">
      <c r="A38" s="2">
        <v>13.38</v>
      </c>
      <c r="B38" s="2"/>
      <c r="C38" s="2">
        <v>8.4</v>
      </c>
      <c r="D38" s="2"/>
      <c r="E38" s="2"/>
      <c r="F38" s="2"/>
      <c r="G38" s="2"/>
    </row>
    <row r="39" spans="1:13" x14ac:dyDescent="0.2">
      <c r="A39" s="2"/>
      <c r="B39" s="2"/>
      <c r="C39" s="2"/>
      <c r="D39" s="2"/>
      <c r="E39" s="2"/>
      <c r="F39" s="2"/>
      <c r="G39" s="2"/>
    </row>
    <row r="40" spans="1:13" x14ac:dyDescent="0.2">
      <c r="A40" s="2">
        <f>AVERAGE(A33:A38)</f>
        <v>13.393333333333333</v>
      </c>
      <c r="B40" s="2">
        <f t="shared" ref="B40:C40" si="4">AVERAGE(B33:B38)</f>
        <v>10.524999999999999</v>
      </c>
      <c r="C40" s="2">
        <f t="shared" si="4"/>
        <v>9.5283333333333324</v>
      </c>
      <c r="D40" s="2">
        <f>AVERAGE(D33:D38)</f>
        <v>10.149999999999999</v>
      </c>
      <c r="E40" s="2">
        <f>AVERAGE(E33:E38)</f>
        <v>10.362500000000001</v>
      </c>
      <c r="F40" s="2" t="s">
        <v>135</v>
      </c>
      <c r="G40" s="2" t="s">
        <v>371</v>
      </c>
      <c r="I40" s="4">
        <v>0.22500000000000001</v>
      </c>
      <c r="M40" t="s">
        <v>539</v>
      </c>
    </row>
    <row r="41" spans="1:13" x14ac:dyDescent="0.2">
      <c r="A41" s="2">
        <f>STDEV(A33:A38)</f>
        <v>0.30144098372097067</v>
      </c>
      <c r="B41" s="2">
        <f t="shared" ref="B41:C41" si="5">STDEV(B33:B38)</f>
        <v>0.65000000000000024</v>
      </c>
      <c r="C41" s="2">
        <f t="shared" si="5"/>
        <v>1.8547281921259249</v>
      </c>
      <c r="D41" s="2">
        <f>STDEV(D33:D38)</f>
        <v>0.50662280511902202</v>
      </c>
      <c r="E41" s="2">
        <f>STDEV(E33:E38)</f>
        <v>2.0286181667989274</v>
      </c>
      <c r="F41" s="2" t="s">
        <v>86</v>
      </c>
      <c r="G41" s="2"/>
    </row>
    <row r="42" spans="1:13" x14ac:dyDescent="0.2">
      <c r="A42" t="s">
        <v>367</v>
      </c>
      <c r="B42">
        <f>A40-E40</f>
        <v>3.0308333333333319</v>
      </c>
      <c r="C42" t="s">
        <v>368</v>
      </c>
      <c r="E42" s="5">
        <v>0.22500000000000001</v>
      </c>
      <c r="F42" t="s">
        <v>369</v>
      </c>
    </row>
    <row r="52" spans="1:24" x14ac:dyDescent="0.2">
      <c r="A52" t="s">
        <v>562</v>
      </c>
    </row>
    <row r="53" spans="1:24" x14ac:dyDescent="0.2">
      <c r="A53" s="2" t="s">
        <v>560</v>
      </c>
      <c r="B53" s="2">
        <v>1988</v>
      </c>
      <c r="C53" s="2">
        <v>1993</v>
      </c>
      <c r="D53" s="2">
        <v>1997</v>
      </c>
      <c r="E53" s="2">
        <v>1988</v>
      </c>
      <c r="F53" s="2">
        <v>1997</v>
      </c>
      <c r="G53" s="2">
        <v>1988</v>
      </c>
      <c r="H53" s="2">
        <v>1993</v>
      </c>
      <c r="I53" s="2">
        <v>1997</v>
      </c>
      <c r="J53" s="2">
        <v>2002</v>
      </c>
      <c r="K53" s="2">
        <v>2009</v>
      </c>
      <c r="L53" s="2">
        <v>2014</v>
      </c>
      <c r="M53" s="2">
        <v>2018</v>
      </c>
      <c r="N53" t="s">
        <v>528</v>
      </c>
      <c r="P53">
        <v>1988</v>
      </c>
      <c r="Q53">
        <v>1993</v>
      </c>
      <c r="R53">
        <v>1997</v>
      </c>
      <c r="S53">
        <v>2002</v>
      </c>
      <c r="T53">
        <v>2009</v>
      </c>
      <c r="U53">
        <v>2014</v>
      </c>
      <c r="V53">
        <v>2018</v>
      </c>
      <c r="W53" t="s">
        <v>528</v>
      </c>
    </row>
    <row r="54" spans="1:24" x14ac:dyDescent="0.2">
      <c r="A54" s="2" t="s">
        <v>527</v>
      </c>
      <c r="B54" s="2" t="s">
        <v>108</v>
      </c>
      <c r="C54" s="2"/>
      <c r="D54" s="2"/>
      <c r="E54" s="2" t="s">
        <v>109</v>
      </c>
      <c r="F54" s="2"/>
      <c r="G54" s="2" t="s">
        <v>110</v>
      </c>
      <c r="H54" s="2"/>
      <c r="I54" s="2"/>
      <c r="J54" s="2"/>
      <c r="K54" s="2"/>
      <c r="L54" s="2"/>
      <c r="M54" s="2"/>
      <c r="N54" t="s">
        <v>3</v>
      </c>
      <c r="O54" t="s">
        <v>86</v>
      </c>
      <c r="W54" t="s">
        <v>3</v>
      </c>
      <c r="X54" t="s">
        <v>86</v>
      </c>
    </row>
    <row r="55" spans="1:24" x14ac:dyDescent="0.2">
      <c r="A55" s="2" t="s">
        <v>95</v>
      </c>
      <c r="B55" s="2" t="s">
        <v>390</v>
      </c>
      <c r="C55" s="2" t="s">
        <v>429</v>
      </c>
      <c r="D55" s="2" t="s">
        <v>442</v>
      </c>
      <c r="E55" s="2" t="s">
        <v>393</v>
      </c>
      <c r="F55" s="2" t="s">
        <v>384</v>
      </c>
      <c r="G55" s="2" t="s">
        <v>396</v>
      </c>
      <c r="H55" s="2" t="s">
        <v>435</v>
      </c>
      <c r="I55" s="2" t="s">
        <v>378</v>
      </c>
      <c r="J55" s="2">
        <v>96.730158730158735</v>
      </c>
      <c r="K55" s="2">
        <v>108.73271889400924</v>
      </c>
      <c r="L55" s="2">
        <v>100.65359477124183</v>
      </c>
      <c r="M55" s="2">
        <v>91.177777777777777</v>
      </c>
      <c r="N55">
        <v>93.799178596169654</v>
      </c>
      <c r="O55">
        <v>10.487689050339014</v>
      </c>
      <c r="P55">
        <v>78.3</v>
      </c>
      <c r="Q55">
        <v>83</v>
      </c>
      <c r="R55">
        <v>98</v>
      </c>
      <c r="S55">
        <v>96.730158730158735</v>
      </c>
      <c r="T55">
        <v>108.73271889400924</v>
      </c>
      <c r="U55">
        <v>100.65359477124183</v>
      </c>
      <c r="V55">
        <v>91.177777777777777</v>
      </c>
      <c r="W55">
        <f>AVERAGE(P55:V55)</f>
        <v>93.799178596169654</v>
      </c>
      <c r="X55">
        <f>STDEV(P55:V55)</f>
        <v>10.487689050339014</v>
      </c>
    </row>
    <row r="56" spans="1:24" x14ac:dyDescent="0.2">
      <c r="A56" s="2" t="s">
        <v>172</v>
      </c>
      <c r="B56" s="2" t="s">
        <v>391</v>
      </c>
      <c r="C56" s="2" t="s">
        <v>430</v>
      </c>
      <c r="D56" s="2" t="s">
        <v>443</v>
      </c>
      <c r="E56" s="2" t="s">
        <v>394</v>
      </c>
      <c r="F56" s="2" t="s">
        <v>385</v>
      </c>
      <c r="G56" s="2" t="s">
        <v>398</v>
      </c>
      <c r="H56" s="2" t="s">
        <v>436</v>
      </c>
      <c r="I56" s="2" t="s">
        <v>379</v>
      </c>
      <c r="J56" s="2">
        <v>111.72857142857144</v>
      </c>
      <c r="K56" s="2">
        <v>101.09268292682928</v>
      </c>
      <c r="L56" s="2">
        <v>95.806451612903217</v>
      </c>
      <c r="M56" s="2">
        <v>100.92500000000001</v>
      </c>
      <c r="N56">
        <v>97.278957995471984</v>
      </c>
      <c r="O56">
        <v>10.007716436794892</v>
      </c>
      <c r="P56">
        <v>78.400000000000006</v>
      </c>
      <c r="Q56">
        <v>98</v>
      </c>
      <c r="R56">
        <v>95</v>
      </c>
      <c r="S56">
        <v>111.72857142857144</v>
      </c>
      <c r="T56">
        <v>101.09268292682928</v>
      </c>
      <c r="U56">
        <v>95.806451612903217</v>
      </c>
      <c r="V56">
        <v>100.92500000000001</v>
      </c>
      <c r="W56">
        <f t="shared" ref="W56:W60" si="6">AVERAGE(P56:V56)</f>
        <v>97.278957995471984</v>
      </c>
      <c r="X56">
        <f t="shared" ref="X56:X60" si="7">STDEV(P56:V56)</f>
        <v>10.007716436794892</v>
      </c>
    </row>
    <row r="57" spans="1:24" x14ac:dyDescent="0.2">
      <c r="A57" s="2" t="s">
        <v>173</v>
      </c>
      <c r="B57" s="2" t="s">
        <v>392</v>
      </c>
      <c r="C57" s="2" t="s">
        <v>431</v>
      </c>
      <c r="D57" s="2" t="s">
        <v>444</v>
      </c>
      <c r="E57" s="2" t="s">
        <v>395</v>
      </c>
      <c r="F57" s="2" t="s">
        <v>386</v>
      </c>
      <c r="G57" s="2" t="s">
        <v>397</v>
      </c>
      <c r="H57" s="2" t="s">
        <v>437</v>
      </c>
      <c r="I57" s="2" t="s">
        <v>380</v>
      </c>
      <c r="J57" s="2">
        <v>111.66666666666667</v>
      </c>
      <c r="K57" s="2">
        <v>104.53072625698326</v>
      </c>
      <c r="L57" s="2">
        <v>79.0625</v>
      </c>
      <c r="M57" s="2">
        <v>77.846153846153854</v>
      </c>
      <c r="N57">
        <v>99.186578109971961</v>
      </c>
      <c r="O57">
        <v>22.318224283407503</v>
      </c>
      <c r="P57">
        <v>86.2</v>
      </c>
      <c r="Q57">
        <v>141</v>
      </c>
      <c r="R57">
        <v>94</v>
      </c>
      <c r="S57">
        <v>111.66666666666667</v>
      </c>
      <c r="T57">
        <v>104.53072625698326</v>
      </c>
      <c r="U57">
        <v>79.0625</v>
      </c>
      <c r="V57">
        <v>77.846153846153854</v>
      </c>
      <c r="W57">
        <f t="shared" si="6"/>
        <v>99.186578109971961</v>
      </c>
      <c r="X57">
        <f t="shared" si="7"/>
        <v>22.318224283407503</v>
      </c>
    </row>
    <row r="58" spans="1:24" x14ac:dyDescent="0.2">
      <c r="A58" s="2" t="s">
        <v>285</v>
      </c>
      <c r="B58" s="2" t="s">
        <v>375</v>
      </c>
      <c r="C58" s="2" t="s">
        <v>432</v>
      </c>
      <c r="D58" s="2" t="s">
        <v>433</v>
      </c>
      <c r="E58" s="2" t="s">
        <v>399</v>
      </c>
      <c r="F58" s="2" t="s">
        <v>387</v>
      </c>
      <c r="G58" s="2" t="s">
        <v>402</v>
      </c>
      <c r="H58" s="2" t="s">
        <v>438</v>
      </c>
      <c r="I58" s="2" t="s">
        <v>381</v>
      </c>
      <c r="J58" s="2">
        <v>123.24786324786326</v>
      </c>
      <c r="K58" s="2">
        <v>118.19148936170214</v>
      </c>
      <c r="L58" s="2">
        <v>107.53363228699553</v>
      </c>
      <c r="M58" s="2">
        <v>82.322580645161295</v>
      </c>
      <c r="N58">
        <v>108.18508079167461</v>
      </c>
      <c r="O58">
        <v>21.077916438408096</v>
      </c>
      <c r="P58">
        <v>93</v>
      </c>
      <c r="Q58">
        <v>142</v>
      </c>
      <c r="R58">
        <v>91</v>
      </c>
      <c r="S58">
        <v>123.24786324786326</v>
      </c>
      <c r="T58">
        <v>118.19148936170214</v>
      </c>
      <c r="U58">
        <v>107.53363228699553</v>
      </c>
      <c r="V58">
        <v>82.322580645161295</v>
      </c>
      <c r="W58">
        <f t="shared" si="6"/>
        <v>108.18508079167461</v>
      </c>
      <c r="X58">
        <f t="shared" si="7"/>
        <v>21.077916438408096</v>
      </c>
    </row>
    <row r="59" spans="1:24" x14ac:dyDescent="0.2">
      <c r="A59" s="2" t="s">
        <v>277</v>
      </c>
      <c r="B59" s="2" t="s">
        <v>376</v>
      </c>
      <c r="C59" s="2" t="s">
        <v>433</v>
      </c>
      <c r="D59" s="2" t="s">
        <v>445</v>
      </c>
      <c r="E59" s="2" t="s">
        <v>400</v>
      </c>
      <c r="F59" s="2" t="s">
        <v>388</v>
      </c>
      <c r="G59" s="2" t="s">
        <v>403</v>
      </c>
      <c r="H59" s="2" t="s">
        <v>439</v>
      </c>
      <c r="I59" s="2" t="s">
        <v>382</v>
      </c>
      <c r="J59" s="2">
        <v>143.14163090128756</v>
      </c>
      <c r="K59" s="2">
        <v>125.17829457364343</v>
      </c>
      <c r="L59" s="2">
        <v>125.35849056603773</v>
      </c>
      <c r="M59" s="2">
        <v>137.94000000000003</v>
      </c>
      <c r="N59">
        <v>119.6597737201384</v>
      </c>
      <c r="O59">
        <v>22.457725319507166</v>
      </c>
      <c r="P59">
        <v>107</v>
      </c>
      <c r="Q59">
        <v>123</v>
      </c>
      <c r="R59">
        <v>76</v>
      </c>
      <c r="S59">
        <v>143.14163090128756</v>
      </c>
      <c r="T59">
        <v>125.17829457364343</v>
      </c>
      <c r="U59">
        <v>125.35849056603773</v>
      </c>
      <c r="V59">
        <v>137.94000000000003</v>
      </c>
      <c r="W59">
        <f t="shared" si="6"/>
        <v>119.6597737201384</v>
      </c>
      <c r="X59">
        <f t="shared" si="7"/>
        <v>22.457725319507166</v>
      </c>
    </row>
    <row r="60" spans="1:24" x14ac:dyDescent="0.2">
      <c r="A60" s="2" t="s">
        <v>290</v>
      </c>
      <c r="B60" s="2" t="s">
        <v>377</v>
      </c>
      <c r="C60" s="2" t="s">
        <v>434</v>
      </c>
      <c r="D60" s="2" t="s">
        <v>446</v>
      </c>
      <c r="E60" s="2" t="s">
        <v>401</v>
      </c>
      <c r="F60" s="2" t="s">
        <v>389</v>
      </c>
      <c r="G60" s="2" t="s">
        <v>404</v>
      </c>
      <c r="H60" s="2" t="s">
        <v>440</v>
      </c>
      <c r="I60" s="2" t="s">
        <v>383</v>
      </c>
      <c r="J60" s="2">
        <v>153.18518518518519</v>
      </c>
      <c r="K60" s="2">
        <v>240.67581837381206</v>
      </c>
      <c r="L60" s="2">
        <v>156.08108108108109</v>
      </c>
      <c r="M60" s="2">
        <v>110.75000000000001</v>
      </c>
      <c r="N60">
        <v>149.38458352001118</v>
      </c>
      <c r="O60">
        <v>44.661953098493647</v>
      </c>
      <c r="P60">
        <v>138</v>
      </c>
      <c r="Q60">
        <v>141</v>
      </c>
      <c r="R60">
        <v>106</v>
      </c>
      <c r="S60">
        <v>153.18518518518519</v>
      </c>
      <c r="T60">
        <v>240.67581837381206</v>
      </c>
      <c r="U60">
        <v>156.08108108108109</v>
      </c>
      <c r="V60">
        <v>110.75000000000001</v>
      </c>
      <c r="W60">
        <f t="shared" si="6"/>
        <v>149.38458352001118</v>
      </c>
      <c r="X60">
        <f t="shared" si="7"/>
        <v>44.661953098493647</v>
      </c>
    </row>
    <row r="61" spans="1:24" x14ac:dyDescent="0.2">
      <c r="A61" s="2" t="s">
        <v>413</v>
      </c>
      <c r="B61">
        <v>5.5E-2</v>
      </c>
      <c r="C61">
        <v>3.2000000000000001E-2</v>
      </c>
      <c r="D61">
        <v>4.3999999999999997E-2</v>
      </c>
      <c r="E61">
        <v>9.8000000000000004E-2</v>
      </c>
      <c r="F61">
        <v>0.11</v>
      </c>
      <c r="G61">
        <v>6.7000000000000004E-2</v>
      </c>
      <c r="H61">
        <v>0.14599999999999999</v>
      </c>
      <c r="I61">
        <v>0.14299999999999999</v>
      </c>
    </row>
    <row r="62" spans="1:24" x14ac:dyDescent="0.2">
      <c r="A62" s="2" t="s">
        <v>569</v>
      </c>
      <c r="N62">
        <f>AVERAGE(L69:M69)</f>
        <v>1.675</v>
      </c>
    </row>
    <row r="63" spans="1:24" x14ac:dyDescent="0.2">
      <c r="A63" s="2" t="s">
        <v>570</v>
      </c>
    </row>
    <row r="66" spans="1:31" x14ac:dyDescent="0.2">
      <c r="A66" t="s">
        <v>538</v>
      </c>
    </row>
    <row r="67" spans="1:31" x14ac:dyDescent="0.2">
      <c r="Q67" t="s">
        <v>338</v>
      </c>
      <c r="Z67" t="s">
        <v>528</v>
      </c>
    </row>
    <row r="68" spans="1:31" x14ac:dyDescent="0.2">
      <c r="A68" s="2" t="s">
        <v>318</v>
      </c>
      <c r="B68" s="2"/>
      <c r="C68" s="2">
        <v>1988</v>
      </c>
      <c r="D68" s="2"/>
      <c r="E68" s="2">
        <v>1997</v>
      </c>
      <c r="F68" s="2">
        <v>2002</v>
      </c>
      <c r="G68" s="2">
        <v>2009</v>
      </c>
      <c r="H68" s="2">
        <v>2014</v>
      </c>
      <c r="I68" s="2">
        <v>2018</v>
      </c>
      <c r="L68">
        <v>2018</v>
      </c>
      <c r="M68">
        <v>2018</v>
      </c>
      <c r="N68" t="s">
        <v>3</v>
      </c>
      <c r="O68" t="s">
        <v>86</v>
      </c>
      <c r="P68" t="s">
        <v>413</v>
      </c>
      <c r="Q68" t="s">
        <v>327</v>
      </c>
      <c r="R68">
        <v>1976</v>
      </c>
      <c r="S68">
        <v>1988</v>
      </c>
      <c r="U68">
        <v>1997</v>
      </c>
      <c r="V68">
        <v>2002</v>
      </c>
      <c r="W68">
        <v>2009</v>
      </c>
      <c r="X68">
        <v>2014</v>
      </c>
      <c r="Y68">
        <v>2018</v>
      </c>
      <c r="Z68" t="s">
        <v>3</v>
      </c>
      <c r="AB68">
        <v>2002</v>
      </c>
      <c r="AC68">
        <v>2009</v>
      </c>
      <c r="AD68">
        <v>2024</v>
      </c>
      <c r="AE68">
        <v>2018</v>
      </c>
    </row>
    <row r="69" spans="1:31" x14ac:dyDescent="0.2">
      <c r="A69" s="2" t="s">
        <v>305</v>
      </c>
      <c r="B69" s="2"/>
      <c r="C69" s="2">
        <v>2.4833333333333334</v>
      </c>
      <c r="D69" s="2"/>
      <c r="E69" s="2">
        <v>1.6833333333333336</v>
      </c>
      <c r="F69" s="2">
        <v>1.26</v>
      </c>
      <c r="G69" s="2">
        <v>1.4466666666666665</v>
      </c>
      <c r="H69" s="2">
        <v>1.53</v>
      </c>
      <c r="I69" s="2">
        <f t="shared" ref="I69:I74" si="8">(L69+M69)/2</f>
        <v>1.675</v>
      </c>
      <c r="L69">
        <v>1.8</v>
      </c>
      <c r="M69">
        <v>1.55</v>
      </c>
      <c r="N69">
        <f t="shared" ref="N69:N74" si="9">AVERAGE(B69:M69)</f>
        <v>1.6785416666666668</v>
      </c>
      <c r="O69">
        <f t="shared" ref="O69:O74" si="10">STDEV(B69:M69)</f>
        <v>0.36449730277487469</v>
      </c>
      <c r="P69">
        <f t="shared" ref="P69:P74" si="11">O69/N69</f>
        <v>0.21715117951090956</v>
      </c>
      <c r="Q69" t="s">
        <v>305</v>
      </c>
      <c r="R69">
        <v>43</v>
      </c>
      <c r="S69">
        <v>42.266666666666673</v>
      </c>
      <c r="U69">
        <v>45</v>
      </c>
      <c r="V69">
        <v>27.7</v>
      </c>
      <c r="W69">
        <v>35.75</v>
      </c>
      <c r="X69">
        <v>35</v>
      </c>
      <c r="Y69">
        <v>37.299999999999997</v>
      </c>
      <c r="Z69">
        <f>AVERAGE(S69:Y69)</f>
        <v>37.169444444444451</v>
      </c>
      <c r="AB69">
        <f t="shared" ref="AB69:AD74" si="12">V69*4.4/F69</f>
        <v>96.730158730158735</v>
      </c>
      <c r="AC69">
        <f t="shared" si="12"/>
        <v>108.73271889400924</v>
      </c>
      <c r="AD69">
        <f t="shared" si="12"/>
        <v>100.65359477124183</v>
      </c>
      <c r="AE69">
        <f t="shared" ref="AE69:AE74" si="13">Y69*4.4/L69</f>
        <v>91.177777777777777</v>
      </c>
    </row>
    <row r="70" spans="1:31" x14ac:dyDescent="0.2">
      <c r="A70" s="2" t="s">
        <v>306</v>
      </c>
      <c r="B70" s="2"/>
      <c r="C70" s="2">
        <v>2.3366666666666664</v>
      </c>
      <c r="D70" s="2"/>
      <c r="E70" s="2">
        <v>1.9333333333333333</v>
      </c>
      <c r="F70" s="2">
        <v>0.93333333333333324</v>
      </c>
      <c r="G70" s="2">
        <v>1.3666666666666665</v>
      </c>
      <c r="H70" s="2">
        <v>1.55</v>
      </c>
      <c r="I70" s="2">
        <f t="shared" si="8"/>
        <v>1.825</v>
      </c>
      <c r="L70">
        <v>1.6</v>
      </c>
      <c r="M70">
        <v>2.0499999999999998</v>
      </c>
      <c r="N70">
        <f t="shared" si="9"/>
        <v>1.6993749999999999</v>
      </c>
      <c r="O70">
        <f t="shared" si="10"/>
        <v>0.43577511447629252</v>
      </c>
      <c r="P70">
        <f t="shared" si="11"/>
        <v>0.25643257931668556</v>
      </c>
      <c r="Q70" t="s">
        <v>306</v>
      </c>
      <c r="R70">
        <v>40.799999999999997</v>
      </c>
      <c r="S70">
        <v>39.833333333333336</v>
      </c>
      <c r="U70">
        <v>42</v>
      </c>
      <c r="V70">
        <v>23.7</v>
      </c>
      <c r="W70">
        <v>31.4</v>
      </c>
      <c r="X70">
        <v>33.75</v>
      </c>
      <c r="Y70">
        <v>36.700000000000003</v>
      </c>
      <c r="Z70">
        <f t="shared" ref="Z70:Z74" si="14">AVERAGE(S70:Y70)</f>
        <v>34.56388888888889</v>
      </c>
      <c r="AB70">
        <f t="shared" si="12"/>
        <v>111.72857142857144</v>
      </c>
      <c r="AC70">
        <f t="shared" si="12"/>
        <v>101.09268292682928</v>
      </c>
      <c r="AD70">
        <f t="shared" si="12"/>
        <v>95.806451612903217</v>
      </c>
      <c r="AE70">
        <f t="shared" si="13"/>
        <v>100.92500000000001</v>
      </c>
    </row>
    <row r="71" spans="1:31" x14ac:dyDescent="0.2">
      <c r="A71" s="2" t="s">
        <v>307</v>
      </c>
      <c r="B71" s="2"/>
      <c r="C71" s="2">
        <v>1.9333333333333336</v>
      </c>
      <c r="D71" s="2"/>
      <c r="E71" s="2">
        <v>1.79</v>
      </c>
      <c r="F71" s="2">
        <v>0.66</v>
      </c>
      <c r="G71" s="2">
        <v>1.1933333333333334</v>
      </c>
      <c r="H71" s="2">
        <v>1.6</v>
      </c>
      <c r="I71" s="2">
        <f t="shared" si="8"/>
        <v>1.825</v>
      </c>
      <c r="L71">
        <v>1.95</v>
      </c>
      <c r="M71">
        <v>1.7</v>
      </c>
      <c r="N71">
        <f t="shared" si="9"/>
        <v>1.5814583333333332</v>
      </c>
      <c r="O71">
        <f t="shared" si="10"/>
        <v>0.44345454617560354</v>
      </c>
      <c r="P71">
        <f t="shared" si="11"/>
        <v>0.28040861831680902</v>
      </c>
      <c r="Q71" t="s">
        <v>307</v>
      </c>
      <c r="R71">
        <v>32</v>
      </c>
      <c r="S71">
        <v>36.033333333333339</v>
      </c>
      <c r="U71">
        <v>35.75</v>
      </c>
      <c r="V71">
        <v>16.75</v>
      </c>
      <c r="W71">
        <v>28.35</v>
      </c>
      <c r="X71">
        <v>28.75</v>
      </c>
      <c r="Y71">
        <v>34.5</v>
      </c>
      <c r="Z71">
        <f t="shared" si="14"/>
        <v>30.022222222222222</v>
      </c>
      <c r="AB71">
        <f t="shared" si="12"/>
        <v>111.66666666666667</v>
      </c>
      <c r="AC71">
        <f t="shared" si="12"/>
        <v>104.53072625698326</v>
      </c>
      <c r="AD71">
        <f t="shared" si="12"/>
        <v>79.0625</v>
      </c>
      <c r="AE71">
        <f t="shared" si="13"/>
        <v>77.846153846153854</v>
      </c>
    </row>
    <row r="72" spans="1:31" x14ac:dyDescent="0.2">
      <c r="A72" s="2" t="s">
        <v>285</v>
      </c>
      <c r="B72" s="2"/>
      <c r="C72" s="2">
        <v>1.41</v>
      </c>
      <c r="D72" s="2"/>
      <c r="E72" s="2">
        <v>1.6533333333333335</v>
      </c>
      <c r="F72" s="2">
        <v>0.64349999999999996</v>
      </c>
      <c r="G72" s="2">
        <v>0.94</v>
      </c>
      <c r="H72" s="2">
        <v>1.115</v>
      </c>
      <c r="I72" s="2">
        <f t="shared" si="8"/>
        <v>1.2350000000000001</v>
      </c>
      <c r="L72">
        <v>1.55</v>
      </c>
      <c r="M72">
        <v>0.92</v>
      </c>
      <c r="N72">
        <f t="shared" si="9"/>
        <v>1.1833541666666667</v>
      </c>
      <c r="O72">
        <f t="shared" si="10"/>
        <v>0.3451783578243533</v>
      </c>
      <c r="P72">
        <f t="shared" si="11"/>
        <v>0.29169488522330517</v>
      </c>
      <c r="Q72" t="s">
        <v>285</v>
      </c>
      <c r="R72">
        <v>27</v>
      </c>
      <c r="S72">
        <v>28.633333333333336</v>
      </c>
      <c r="U72">
        <v>34</v>
      </c>
      <c r="V72">
        <v>18.024999999999999</v>
      </c>
      <c r="W72">
        <v>25.25</v>
      </c>
      <c r="X72">
        <v>27.25</v>
      </c>
      <c r="Y72">
        <v>29</v>
      </c>
      <c r="Z72">
        <f t="shared" si="14"/>
        <v>27.026388888888889</v>
      </c>
      <c r="AB72">
        <f t="shared" si="12"/>
        <v>123.24786324786326</v>
      </c>
      <c r="AC72">
        <f t="shared" si="12"/>
        <v>118.19148936170214</v>
      </c>
      <c r="AD72">
        <f t="shared" si="12"/>
        <v>107.53363228699553</v>
      </c>
      <c r="AE72">
        <f t="shared" si="13"/>
        <v>82.322580645161295</v>
      </c>
    </row>
    <row r="73" spans="1:31" x14ac:dyDescent="0.2">
      <c r="A73" s="2" t="s">
        <v>277</v>
      </c>
      <c r="B73" s="2"/>
      <c r="C73" s="2">
        <v>0.99</v>
      </c>
      <c r="D73" s="2"/>
      <c r="E73" s="2">
        <v>1.4766666666666668</v>
      </c>
      <c r="F73" s="2">
        <v>0.58250000000000002</v>
      </c>
      <c r="G73" s="2">
        <v>0.64500000000000002</v>
      </c>
      <c r="H73" s="2">
        <v>0.79500000000000004</v>
      </c>
      <c r="I73" s="2">
        <f t="shared" si="8"/>
        <v>1.35</v>
      </c>
      <c r="L73">
        <v>1</v>
      </c>
      <c r="M73">
        <v>1.7</v>
      </c>
      <c r="N73">
        <f t="shared" si="9"/>
        <v>1.0673958333333333</v>
      </c>
      <c r="O73">
        <f t="shared" si="10"/>
        <v>0.40458616852030027</v>
      </c>
      <c r="P73">
        <f t="shared" si="11"/>
        <v>0.37904042332340027</v>
      </c>
      <c r="Q73" t="s">
        <v>277</v>
      </c>
      <c r="S73">
        <v>23.066666666666666</v>
      </c>
      <c r="U73">
        <v>24</v>
      </c>
      <c r="V73">
        <v>18.95</v>
      </c>
      <c r="W73">
        <v>18.350000000000001</v>
      </c>
      <c r="X73">
        <v>22.65</v>
      </c>
      <c r="Y73">
        <v>31.35</v>
      </c>
      <c r="Z73">
        <f t="shared" si="14"/>
        <v>23.061111111111114</v>
      </c>
      <c r="AB73">
        <f t="shared" si="12"/>
        <v>143.14163090128756</v>
      </c>
      <c r="AC73">
        <f t="shared" si="12"/>
        <v>125.17829457364343</v>
      </c>
      <c r="AD73">
        <f t="shared" si="12"/>
        <v>125.35849056603773</v>
      </c>
      <c r="AE73">
        <f t="shared" si="13"/>
        <v>137.94000000000003</v>
      </c>
    </row>
    <row r="74" spans="1:31" x14ac:dyDescent="0.2">
      <c r="A74" s="2" t="s">
        <v>290</v>
      </c>
      <c r="B74" s="2"/>
      <c r="C74" s="2">
        <v>0.67</v>
      </c>
      <c r="D74" s="2"/>
      <c r="E74" s="2">
        <v>0.84333333333333327</v>
      </c>
      <c r="F74" s="2">
        <v>0.54</v>
      </c>
      <c r="G74" s="2">
        <v>0.47349999999999998</v>
      </c>
      <c r="H74" s="2">
        <v>0.74</v>
      </c>
      <c r="I74" s="2">
        <f t="shared" si="8"/>
        <v>0.82000000000000006</v>
      </c>
      <c r="L74">
        <v>0.88</v>
      </c>
      <c r="M74">
        <v>0.76</v>
      </c>
      <c r="N74">
        <f t="shared" si="9"/>
        <v>0.71585416666666668</v>
      </c>
      <c r="O74">
        <f t="shared" si="10"/>
        <v>0.14557072784579869</v>
      </c>
      <c r="P74">
        <f t="shared" si="11"/>
        <v>0.20335249080638915</v>
      </c>
      <c r="Q74" t="s">
        <v>290</v>
      </c>
      <c r="S74">
        <v>20</v>
      </c>
      <c r="U74">
        <v>19</v>
      </c>
      <c r="V74">
        <v>18.8</v>
      </c>
      <c r="W74">
        <v>25.9</v>
      </c>
      <c r="X74">
        <v>26.25</v>
      </c>
      <c r="Y74">
        <v>22.15</v>
      </c>
      <c r="Z74">
        <f t="shared" si="14"/>
        <v>22.016666666666666</v>
      </c>
      <c r="AB74">
        <f t="shared" si="12"/>
        <v>153.18518518518519</v>
      </c>
      <c r="AC74">
        <f t="shared" si="12"/>
        <v>240.67581837381206</v>
      </c>
      <c r="AD74">
        <f t="shared" si="12"/>
        <v>156.08108108108109</v>
      </c>
      <c r="AE74">
        <f t="shared" si="13"/>
        <v>110.75000000000001</v>
      </c>
    </row>
    <row r="75" spans="1:31" x14ac:dyDescent="0.2">
      <c r="A75" t="s">
        <v>326</v>
      </c>
      <c r="C75">
        <v>1.6372222222222224</v>
      </c>
      <c r="E75">
        <v>1.5633333333333335</v>
      </c>
      <c r="F75">
        <v>0.76988888888888896</v>
      </c>
      <c r="G75">
        <v>1.0108611111111108</v>
      </c>
      <c r="H75">
        <v>1.2216666666666667</v>
      </c>
      <c r="I75">
        <f>AVERAGE(I69:I74)</f>
        <v>1.4550000000000001</v>
      </c>
      <c r="L75">
        <v>1.4633333333333336</v>
      </c>
      <c r="M75">
        <v>1.4466666666666665</v>
      </c>
      <c r="N75" t="s">
        <v>290</v>
      </c>
      <c r="O75" s="3">
        <v>0.43</v>
      </c>
    </row>
    <row r="76" spans="1:31" x14ac:dyDescent="0.2">
      <c r="A76" t="s">
        <v>320</v>
      </c>
      <c r="C76">
        <v>52.343333333333334</v>
      </c>
      <c r="E76">
        <v>57.850000000000009</v>
      </c>
      <c r="F76">
        <v>26.28</v>
      </c>
      <c r="G76">
        <v>33.545000000000002</v>
      </c>
      <c r="H76">
        <v>42.21</v>
      </c>
      <c r="L76">
        <v>52.45</v>
      </c>
      <c r="M76">
        <v>51.550000000000004</v>
      </c>
    </row>
    <row r="77" spans="1:31" x14ac:dyDescent="0.2">
      <c r="A77" s="2" t="s">
        <v>3</v>
      </c>
      <c r="B77" s="2"/>
      <c r="C77" s="2">
        <v>1.3085833333333334</v>
      </c>
      <c r="D77" s="2"/>
      <c r="E77" s="2">
        <v>1.4462500000000003</v>
      </c>
      <c r="F77" s="2">
        <v>0.65700000000000003</v>
      </c>
      <c r="G77" s="2">
        <v>0.83862500000000006</v>
      </c>
      <c r="H77" s="2">
        <v>1.05525</v>
      </c>
      <c r="I77" s="2"/>
      <c r="L77" s="2">
        <v>1.31125</v>
      </c>
      <c r="M77" s="2">
        <v>1.2887500000000001</v>
      </c>
      <c r="N77" s="2" t="s">
        <v>301</v>
      </c>
    </row>
    <row r="78" spans="1:31" x14ac:dyDescent="0.2">
      <c r="A78" s="2" t="s">
        <v>325</v>
      </c>
      <c r="B78" s="2"/>
      <c r="C78" s="2">
        <v>2.1643333333333334</v>
      </c>
      <c r="D78" s="2"/>
      <c r="E78" s="2">
        <v>1.8116666666666668</v>
      </c>
      <c r="F78" s="2">
        <v>0.8620000000000001</v>
      </c>
      <c r="G78" s="2">
        <v>1.2959999999999998</v>
      </c>
      <c r="H78" s="2">
        <v>1.5710000000000002</v>
      </c>
      <c r="I78" s="2">
        <v>1.7949999999999999</v>
      </c>
      <c r="L78" s="2">
        <v>1.7749999999999999</v>
      </c>
      <c r="M78" s="2" t="s">
        <v>104</v>
      </c>
    </row>
    <row r="86" spans="1:15" x14ac:dyDescent="0.2">
      <c r="A86" s="2" t="s">
        <v>528</v>
      </c>
      <c r="B86" s="2"/>
      <c r="D86" s="2" t="s">
        <v>561</v>
      </c>
      <c r="E86" s="2" t="s">
        <v>528</v>
      </c>
      <c r="F86" s="2"/>
      <c r="G86" s="2"/>
      <c r="H86" s="2"/>
      <c r="I86" s="2"/>
      <c r="J86" s="2"/>
      <c r="K86" s="2"/>
      <c r="L86" s="2"/>
    </row>
    <row r="87" spans="1:15" x14ac:dyDescent="0.2">
      <c r="A87" s="2" t="s">
        <v>313</v>
      </c>
      <c r="B87" s="2"/>
      <c r="D87" s="2" t="s">
        <v>536</v>
      </c>
      <c r="E87" s="2" t="s">
        <v>530</v>
      </c>
      <c r="F87" s="2"/>
      <c r="G87" s="2" t="s">
        <v>520</v>
      </c>
      <c r="H87" s="2"/>
      <c r="I87" s="2" t="s">
        <v>513</v>
      </c>
      <c r="J87" s="2"/>
      <c r="K87" s="2" t="s">
        <v>558</v>
      </c>
      <c r="L87" s="2"/>
    </row>
    <row r="88" spans="1:15" x14ac:dyDescent="0.2">
      <c r="A88" s="2" t="s">
        <v>3</v>
      </c>
      <c r="B88" s="2" t="s">
        <v>504</v>
      </c>
      <c r="D88" s="2" t="s">
        <v>537</v>
      </c>
      <c r="E88" s="2" t="s">
        <v>3</v>
      </c>
      <c r="F88" s="2" t="s">
        <v>504</v>
      </c>
      <c r="G88" s="2" t="s">
        <v>3</v>
      </c>
      <c r="H88" s="2" t="s">
        <v>504</v>
      </c>
      <c r="I88" s="2" t="s">
        <v>3</v>
      </c>
      <c r="J88" s="2" t="s">
        <v>504</v>
      </c>
      <c r="K88" s="2" t="s">
        <v>3</v>
      </c>
      <c r="L88" s="2" t="s">
        <v>504</v>
      </c>
    </row>
    <row r="89" spans="1:15" x14ac:dyDescent="0.2">
      <c r="A89">
        <v>7.2460237819972777</v>
      </c>
      <c r="B89" t="s">
        <v>507</v>
      </c>
      <c r="D89" s="2" t="s">
        <v>95</v>
      </c>
      <c r="E89" s="2">
        <v>372</v>
      </c>
      <c r="F89" s="2" t="s">
        <v>682</v>
      </c>
      <c r="G89" s="2">
        <v>165</v>
      </c>
      <c r="H89" s="2" t="s">
        <v>514</v>
      </c>
      <c r="I89" s="2">
        <v>9.7000000000000011</v>
      </c>
      <c r="J89" s="2" t="s">
        <v>500</v>
      </c>
      <c r="K89" s="2">
        <v>7.2460237819972777</v>
      </c>
      <c r="L89" s="2" t="s">
        <v>507</v>
      </c>
      <c r="N89">
        <f>G89*2.5</f>
        <v>412.5</v>
      </c>
      <c r="O89">
        <f>1000-(N89+E89+I89)</f>
        <v>205.79999999999995</v>
      </c>
    </row>
    <row r="90" spans="1:15" x14ac:dyDescent="0.2">
      <c r="A90">
        <v>9.3471399752314248</v>
      </c>
      <c r="B90" t="s">
        <v>508</v>
      </c>
      <c r="D90" s="2" t="s">
        <v>531</v>
      </c>
      <c r="E90" s="2">
        <v>346</v>
      </c>
      <c r="F90" s="2" t="s">
        <v>683</v>
      </c>
      <c r="G90" s="2">
        <v>147</v>
      </c>
      <c r="H90" s="2" t="s">
        <v>515</v>
      </c>
      <c r="I90" s="2">
        <v>10.3</v>
      </c>
      <c r="J90" s="2" t="s">
        <v>502</v>
      </c>
      <c r="K90" s="2">
        <v>9.3471399752314248</v>
      </c>
      <c r="L90" s="2" t="s">
        <v>508</v>
      </c>
      <c r="N90">
        <f t="shared" ref="N90:N94" si="15">G90*2.5</f>
        <v>367.5</v>
      </c>
      <c r="O90">
        <f t="shared" ref="O90:O94" si="16">1000-(N90+E90+I90)</f>
        <v>276.20000000000005</v>
      </c>
    </row>
    <row r="91" spans="1:15" x14ac:dyDescent="0.2">
      <c r="A91">
        <v>11.561646263438469</v>
      </c>
      <c r="B91" t="s">
        <v>509</v>
      </c>
      <c r="D91" s="2" t="s">
        <v>532</v>
      </c>
      <c r="E91" s="2">
        <v>300</v>
      </c>
      <c r="F91" s="2" t="s">
        <v>684</v>
      </c>
      <c r="G91" s="2">
        <v>132</v>
      </c>
      <c r="H91" s="2" t="s">
        <v>516</v>
      </c>
      <c r="I91" s="2">
        <v>11.1</v>
      </c>
      <c r="J91" s="2" t="s">
        <v>503</v>
      </c>
      <c r="K91" s="2">
        <v>11.561646263438469</v>
      </c>
      <c r="L91" s="2" t="s">
        <v>509</v>
      </c>
      <c r="N91">
        <f t="shared" si="15"/>
        <v>330</v>
      </c>
      <c r="O91">
        <f t="shared" si="16"/>
        <v>358.9</v>
      </c>
    </row>
    <row r="92" spans="1:15" x14ac:dyDescent="0.2">
      <c r="A92">
        <v>13.6291953649877</v>
      </c>
      <c r="B92" t="s">
        <v>510</v>
      </c>
      <c r="D92" s="2" t="s">
        <v>533</v>
      </c>
      <c r="E92" s="2">
        <v>270</v>
      </c>
      <c r="F92" s="2" t="s">
        <v>685</v>
      </c>
      <c r="G92" s="2">
        <v>156</v>
      </c>
      <c r="H92" s="2" t="s">
        <v>517</v>
      </c>
      <c r="I92" s="2">
        <v>12.1</v>
      </c>
      <c r="J92" s="2" t="s">
        <v>501</v>
      </c>
      <c r="K92" s="2">
        <v>13.6291953649877</v>
      </c>
      <c r="L92" s="2" t="s">
        <v>510</v>
      </c>
      <c r="N92">
        <f t="shared" si="15"/>
        <v>390</v>
      </c>
      <c r="O92">
        <f t="shared" si="16"/>
        <v>327.9</v>
      </c>
    </row>
    <row r="93" spans="1:15" x14ac:dyDescent="0.2">
      <c r="A93">
        <v>16.339608607997388</v>
      </c>
      <c r="B93" t="s">
        <v>511</v>
      </c>
      <c r="D93" s="2" t="s">
        <v>534</v>
      </c>
      <c r="E93" s="2">
        <v>231</v>
      </c>
      <c r="F93" s="2" t="s">
        <v>686</v>
      </c>
      <c r="G93" s="2">
        <v>134</v>
      </c>
      <c r="H93" s="2" t="s">
        <v>518</v>
      </c>
      <c r="I93" s="2">
        <v>13.5</v>
      </c>
      <c r="J93" s="2" t="s">
        <v>559</v>
      </c>
      <c r="K93" s="2">
        <v>16.339608607997388</v>
      </c>
      <c r="L93" s="2" t="s">
        <v>511</v>
      </c>
      <c r="N93">
        <f t="shared" si="15"/>
        <v>335</v>
      </c>
      <c r="O93">
        <f t="shared" si="16"/>
        <v>420.5</v>
      </c>
    </row>
    <row r="94" spans="1:15" x14ac:dyDescent="0.2">
      <c r="A94">
        <v>20.839097244287792</v>
      </c>
      <c r="B94" t="s">
        <v>512</v>
      </c>
      <c r="D94" s="2" t="s">
        <v>535</v>
      </c>
      <c r="E94" s="2">
        <v>220</v>
      </c>
      <c r="F94" s="2" t="s">
        <v>687</v>
      </c>
      <c r="G94" s="2">
        <v>126</v>
      </c>
      <c r="H94" s="2" t="s">
        <v>519</v>
      </c>
      <c r="I94" s="2">
        <v>14.1</v>
      </c>
      <c r="J94" s="2" t="s">
        <v>506</v>
      </c>
      <c r="K94" s="2">
        <v>20.839097244287792</v>
      </c>
      <c r="L94" s="2" t="s">
        <v>512</v>
      </c>
      <c r="N94">
        <f t="shared" si="15"/>
        <v>315</v>
      </c>
      <c r="O94">
        <f t="shared" si="16"/>
        <v>450.9</v>
      </c>
    </row>
    <row r="102" spans="1:6" x14ac:dyDescent="0.2">
      <c r="A102" s="2"/>
      <c r="B102" s="2">
        <v>1993</v>
      </c>
      <c r="C102" s="2"/>
      <c r="D102" s="2"/>
      <c r="E102" s="2"/>
    </row>
    <row r="103" spans="1:6" x14ac:dyDescent="0.2">
      <c r="A103" s="2" t="s">
        <v>595</v>
      </c>
      <c r="B103" s="2" t="s">
        <v>453</v>
      </c>
      <c r="C103" s="2" t="s">
        <v>455</v>
      </c>
      <c r="D103" s="2" t="s">
        <v>563</v>
      </c>
      <c r="E103" s="2" t="s">
        <v>564</v>
      </c>
      <c r="F103" s="2" t="s">
        <v>565</v>
      </c>
    </row>
    <row r="104" spans="1:6" x14ac:dyDescent="0.2">
      <c r="A104" s="2"/>
      <c r="B104" s="2" t="s">
        <v>135</v>
      </c>
      <c r="C104" s="2" t="s">
        <v>135</v>
      </c>
      <c r="D104" s="2" t="s">
        <v>414</v>
      </c>
      <c r="E104" s="2" t="s">
        <v>414</v>
      </c>
    </row>
    <row r="105" spans="1:6" x14ac:dyDescent="0.2">
      <c r="A105" s="2" t="s">
        <v>95</v>
      </c>
      <c r="B105" s="2">
        <v>24.388155696625457</v>
      </c>
      <c r="C105" s="2">
        <v>26.8059181897302</v>
      </c>
      <c r="D105" s="2">
        <v>35.4</v>
      </c>
      <c r="E105" s="2">
        <v>3</v>
      </c>
      <c r="F105" s="2">
        <f>100 - (B105+C105+D105+E105)</f>
        <v>10.405926113644341</v>
      </c>
    </row>
    <row r="106" spans="1:6" x14ac:dyDescent="0.2">
      <c r="A106" s="2" t="s">
        <v>306</v>
      </c>
      <c r="B106" s="2">
        <v>13.184260493677533</v>
      </c>
      <c r="C106" s="2">
        <v>30.260869565217398</v>
      </c>
      <c r="D106" s="2">
        <v>38.799999999999997</v>
      </c>
      <c r="E106" s="2">
        <v>3.1</v>
      </c>
      <c r="F106" s="2">
        <f t="shared" ref="F106:F110" si="17">100 - (B106+C106+D106+E106)</f>
        <v>14.654869941105076</v>
      </c>
    </row>
    <row r="107" spans="1:6" x14ac:dyDescent="0.2">
      <c r="A107" s="2" t="s">
        <v>307</v>
      </c>
      <c r="B107" s="2">
        <v>15.391240837331551</v>
      </c>
      <c r="C107" s="2">
        <v>30.443756449948403</v>
      </c>
      <c r="D107" s="2">
        <v>37.9</v>
      </c>
      <c r="E107" s="2">
        <v>1</v>
      </c>
      <c r="F107" s="2">
        <f t="shared" si="17"/>
        <v>15.265002712720047</v>
      </c>
    </row>
    <row r="108" spans="1:6" x14ac:dyDescent="0.2">
      <c r="A108" s="2" t="s">
        <v>285</v>
      </c>
      <c r="B108" s="2">
        <v>12.846753071278609</v>
      </c>
      <c r="C108" s="2">
        <v>35.183695360686521</v>
      </c>
      <c r="D108" s="2">
        <v>30.9</v>
      </c>
      <c r="E108" s="2">
        <v>2.8</v>
      </c>
      <c r="F108" s="2">
        <f t="shared" si="17"/>
        <v>18.269551568034885</v>
      </c>
    </row>
    <row r="109" spans="1:6" x14ac:dyDescent="0.2">
      <c r="A109" s="2" t="s">
        <v>277</v>
      </c>
      <c r="B109" s="2">
        <v>13.349709931676877</v>
      </c>
      <c r="C109" s="2">
        <v>28.522240833798623</v>
      </c>
      <c r="D109" s="2">
        <v>35.799999999999997</v>
      </c>
      <c r="E109" s="2">
        <v>5.4</v>
      </c>
      <c r="F109" s="2">
        <f t="shared" si="17"/>
        <v>16.928049234524494</v>
      </c>
    </row>
    <row r="110" spans="1:6" x14ac:dyDescent="0.2">
      <c r="A110" s="2" t="s">
        <v>290</v>
      </c>
      <c r="B110" s="2">
        <v>12.506557868707795</v>
      </c>
      <c r="C110" s="2">
        <v>37.14047724043315</v>
      </c>
      <c r="D110" s="2">
        <v>30.5</v>
      </c>
      <c r="E110" s="2">
        <v>1.3</v>
      </c>
      <c r="F110" s="2">
        <f t="shared" si="17"/>
        <v>18.552964890859059</v>
      </c>
    </row>
    <row r="113" spans="1:15" x14ac:dyDescent="0.2">
      <c r="A113" s="2" t="s">
        <v>566</v>
      </c>
    </row>
    <row r="115" spans="1:15" x14ac:dyDescent="0.2">
      <c r="A115" s="2" t="s">
        <v>345</v>
      </c>
      <c r="B115" s="2"/>
      <c r="C115" s="2"/>
      <c r="D115" s="2">
        <v>1988</v>
      </c>
      <c r="E115" s="2">
        <v>1997</v>
      </c>
      <c r="F115" s="2">
        <v>2002</v>
      </c>
      <c r="G115" s="2">
        <v>2009</v>
      </c>
      <c r="H115" s="2">
        <v>2014</v>
      </c>
      <c r="I115" s="2">
        <v>2018</v>
      </c>
      <c r="K115" t="s">
        <v>540</v>
      </c>
      <c r="M115">
        <f>(I117+H117)/2-D117</f>
        <v>-23.900000000000006</v>
      </c>
    </row>
    <row r="116" spans="1:15" x14ac:dyDescent="0.2">
      <c r="A116" s="2" t="s">
        <v>183</v>
      </c>
      <c r="B116" s="2" t="s">
        <v>95</v>
      </c>
      <c r="C116" s="2"/>
      <c r="D116" s="2">
        <v>42.98</v>
      </c>
      <c r="E116" s="2">
        <v>44.91</v>
      </c>
      <c r="F116" s="2">
        <v>47.96</v>
      </c>
      <c r="G116" s="2">
        <v>30.89</v>
      </c>
      <c r="H116" s="2">
        <v>33.130000000000003</v>
      </c>
      <c r="I116" s="2">
        <v>35.47</v>
      </c>
      <c r="K116" t="s">
        <v>541</v>
      </c>
      <c r="M116">
        <f>M115/28</f>
        <v>-0.85357142857142876</v>
      </c>
    </row>
    <row r="117" spans="1:15" x14ac:dyDescent="0.2">
      <c r="A117" s="2"/>
      <c r="B117" s="2" t="s">
        <v>205</v>
      </c>
      <c r="C117" s="2"/>
      <c r="D117" s="2">
        <v>140.30000000000001</v>
      </c>
      <c r="E117" s="2">
        <v>179.7</v>
      </c>
      <c r="F117" s="2">
        <v>175.8</v>
      </c>
      <c r="G117" s="2">
        <v>111.1</v>
      </c>
      <c r="H117" s="2">
        <v>107.5</v>
      </c>
      <c r="I117" s="2">
        <v>125.3</v>
      </c>
    </row>
    <row r="118" spans="1:15" x14ac:dyDescent="0.2">
      <c r="A118" s="2"/>
      <c r="B118" s="2" t="s">
        <v>104</v>
      </c>
      <c r="C118" s="2"/>
      <c r="D118" s="2">
        <v>338</v>
      </c>
      <c r="E118" s="2">
        <v>459</v>
      </c>
      <c r="F118" s="2">
        <v>350</v>
      </c>
      <c r="G118" s="2">
        <v>276</v>
      </c>
      <c r="H118" s="2">
        <v>275</v>
      </c>
      <c r="I118" s="2">
        <v>335</v>
      </c>
      <c r="K118">
        <f>(H118+I118)/2-D118</f>
        <v>-33</v>
      </c>
      <c r="M118">
        <f>K118/28</f>
        <v>-1.1785714285714286</v>
      </c>
      <c r="O118">
        <f>32.8/26</f>
        <v>1.2615384615384615</v>
      </c>
    </row>
    <row r="119" spans="1:15" x14ac:dyDescent="0.2">
      <c r="A119" s="2"/>
      <c r="B119" s="2" t="s">
        <v>342</v>
      </c>
      <c r="C119" s="2"/>
      <c r="D119" s="2">
        <v>730</v>
      </c>
      <c r="E119" s="2">
        <v>1111</v>
      </c>
      <c r="F119" s="2">
        <v>749</v>
      </c>
      <c r="G119" s="2">
        <v>607</v>
      </c>
      <c r="H119" s="2">
        <v>599</v>
      </c>
      <c r="I119" s="2">
        <v>781</v>
      </c>
      <c r="K119">
        <f>(H119+I119)/2-D119</f>
        <v>-40</v>
      </c>
      <c r="M119">
        <f>K119/28</f>
        <v>-1.4285714285714286</v>
      </c>
    </row>
    <row r="120" spans="1:15" x14ac:dyDescent="0.2">
      <c r="A120" s="2"/>
      <c r="B120" s="2" t="s">
        <v>301</v>
      </c>
      <c r="C120" s="2"/>
      <c r="D120" s="2">
        <v>1616</v>
      </c>
      <c r="E120" s="2">
        <v>2719</v>
      </c>
      <c r="F120" s="2">
        <v>1499</v>
      </c>
      <c r="G120" s="2">
        <v>1206</v>
      </c>
      <c r="H120" s="2">
        <v>1289</v>
      </c>
      <c r="I120" s="2">
        <v>1716</v>
      </c>
      <c r="K120">
        <f>(H120+I120)/2-D120</f>
        <v>-113.5</v>
      </c>
      <c r="M120">
        <f>K120/28</f>
        <v>-4.0535714285714288</v>
      </c>
    </row>
    <row r="121" spans="1:15" x14ac:dyDescent="0.2">
      <c r="A121" t="s">
        <v>355</v>
      </c>
      <c r="I121" t="s">
        <v>356</v>
      </c>
    </row>
    <row r="123" spans="1:15" x14ac:dyDescent="0.2">
      <c r="B123">
        <f>D117*0.32</f>
        <v>44.896000000000008</v>
      </c>
      <c r="D123" t="s">
        <v>582</v>
      </c>
      <c r="E123" t="s">
        <v>583</v>
      </c>
    </row>
    <row r="124" spans="1:15" x14ac:dyDescent="0.2">
      <c r="C124" t="s">
        <v>584</v>
      </c>
      <c r="D124">
        <f>D117-125.3</f>
        <v>15.000000000000014</v>
      </c>
    </row>
    <row r="125" spans="1:15" x14ac:dyDescent="0.2">
      <c r="C125" t="s">
        <v>585</v>
      </c>
      <c r="D125">
        <v>33</v>
      </c>
    </row>
    <row r="127" spans="1:15" x14ac:dyDescent="0.2">
      <c r="A127" s="2" t="s">
        <v>568</v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5" x14ac:dyDescent="0.2">
      <c r="A128" s="2" t="s">
        <v>554</v>
      </c>
      <c r="B128" s="2"/>
      <c r="C128" s="2"/>
      <c r="D128" s="2"/>
      <c r="E128" s="2" t="s">
        <v>567</v>
      </c>
      <c r="F128" s="2"/>
      <c r="G128" s="2" t="s">
        <v>546</v>
      </c>
      <c r="H128" s="2"/>
      <c r="I128" s="2" t="s">
        <v>253</v>
      </c>
      <c r="J128" s="2"/>
    </row>
    <row r="129" spans="1:10" x14ac:dyDescent="0.2">
      <c r="A129" s="2"/>
      <c r="B129" s="2"/>
      <c r="C129" s="2"/>
      <c r="D129" s="2"/>
      <c r="E129" s="2" t="s">
        <v>50</v>
      </c>
      <c r="F129" s="2" t="s">
        <v>52</v>
      </c>
      <c r="G129" s="2" t="s">
        <v>50</v>
      </c>
      <c r="H129" s="2" t="s">
        <v>52</v>
      </c>
      <c r="I129" s="2" t="s">
        <v>50</v>
      </c>
      <c r="J129" s="2" t="s">
        <v>52</v>
      </c>
    </row>
    <row r="130" spans="1:10" x14ac:dyDescent="0.2">
      <c r="A130" s="2"/>
      <c r="B130" s="2"/>
      <c r="C130" s="2"/>
      <c r="D130" s="2"/>
      <c r="E130" s="2" t="s">
        <v>549</v>
      </c>
      <c r="F130" s="2" t="s">
        <v>549</v>
      </c>
      <c r="G130" s="2" t="s">
        <v>549</v>
      </c>
      <c r="H130" s="2" t="s">
        <v>549</v>
      </c>
      <c r="I130" s="2" t="s">
        <v>549</v>
      </c>
      <c r="J130" s="2" t="s">
        <v>549</v>
      </c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 t="s">
        <v>547</v>
      </c>
      <c r="B133" s="2"/>
      <c r="C133" s="2"/>
      <c r="D133" s="2"/>
      <c r="E133" s="2">
        <v>81</v>
      </c>
      <c r="F133" s="2">
        <v>508</v>
      </c>
      <c r="G133" s="2">
        <v>72</v>
      </c>
      <c r="H133" s="2">
        <v>449</v>
      </c>
      <c r="I133" s="2">
        <v>6.84</v>
      </c>
      <c r="J133" s="2">
        <v>247</v>
      </c>
    </row>
    <row r="134" spans="1:10" x14ac:dyDescent="0.2">
      <c r="A134" s="2" t="s">
        <v>548</v>
      </c>
      <c r="B134" s="2"/>
      <c r="C134" s="2"/>
      <c r="D134" s="2"/>
      <c r="E134" s="2"/>
      <c r="F134" s="2"/>
      <c r="G134" s="2"/>
      <c r="H134" s="2"/>
      <c r="I134" s="2">
        <v>9.5</v>
      </c>
      <c r="J134" s="2">
        <v>55</v>
      </c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 t="s">
        <v>550</v>
      </c>
      <c r="B136" s="2"/>
      <c r="C136" s="2"/>
      <c r="D136" s="2"/>
      <c r="E136" s="2"/>
      <c r="F136" s="2"/>
      <c r="G136" s="2">
        <v>62.6</v>
      </c>
      <c r="H136" s="2">
        <v>199</v>
      </c>
      <c r="I136" s="2">
        <v>2.2200000000000002</v>
      </c>
      <c r="J136" s="2">
        <v>23.3</v>
      </c>
    </row>
    <row r="137" spans="1:10" x14ac:dyDescent="0.2">
      <c r="A137" s="2" t="s">
        <v>551</v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 t="s">
        <v>579</v>
      </c>
      <c r="B138" s="2"/>
      <c r="C138" s="2"/>
      <c r="D138" s="2"/>
      <c r="E138" s="2"/>
      <c r="F138" s="2"/>
      <c r="G138" s="2">
        <v>87</v>
      </c>
      <c r="H138" s="2">
        <v>44</v>
      </c>
      <c r="I138" s="2">
        <v>32</v>
      </c>
      <c r="J138" s="2">
        <v>9</v>
      </c>
    </row>
    <row r="139" spans="1:10" x14ac:dyDescent="0.2">
      <c r="A139" s="2" t="s">
        <v>580</v>
      </c>
      <c r="B139" s="2"/>
      <c r="C139" s="2" t="s">
        <v>581</v>
      </c>
      <c r="D139" s="2"/>
      <c r="E139" s="2"/>
      <c r="F139" s="2"/>
      <c r="G139" s="2"/>
      <c r="H139" s="2"/>
      <c r="I139" s="2">
        <v>3.5</v>
      </c>
      <c r="J139" s="2">
        <v>11.7</v>
      </c>
    </row>
    <row r="141" spans="1:10" x14ac:dyDescent="0.2">
      <c r="A141" t="s">
        <v>555</v>
      </c>
    </row>
    <row r="142" spans="1:10" x14ac:dyDescent="0.2">
      <c r="A142" t="s">
        <v>556</v>
      </c>
    </row>
    <row r="143" spans="1:10" x14ac:dyDescent="0.2">
      <c r="A143" t="s">
        <v>557</v>
      </c>
    </row>
    <row r="145" spans="1:10" x14ac:dyDescent="0.2">
      <c r="A145" t="s">
        <v>571</v>
      </c>
      <c r="B145" t="s">
        <v>572</v>
      </c>
      <c r="C145" t="s">
        <v>573</v>
      </c>
      <c r="E145">
        <f>2/2.9</f>
        <v>0.68965517241379315</v>
      </c>
      <c r="F145">
        <f>SQRT(2.5)</f>
        <v>1.5811388300841898</v>
      </c>
      <c r="H145">
        <f>52/37</f>
        <v>1.4054054054054055</v>
      </c>
    </row>
    <row r="146" spans="1:10" x14ac:dyDescent="0.2">
      <c r="B146" t="s">
        <v>574</v>
      </c>
      <c r="C146">
        <f>0.689/2.58</f>
        <v>0.26705426356589146</v>
      </c>
    </row>
    <row r="148" spans="1:10" x14ac:dyDescent="0.2">
      <c r="A148" t="s">
        <v>50</v>
      </c>
      <c r="B148">
        <v>0.67</v>
      </c>
      <c r="C148" t="s">
        <v>575</v>
      </c>
      <c r="F148" t="s">
        <v>576</v>
      </c>
    </row>
    <row r="149" spans="1:10" x14ac:dyDescent="0.2">
      <c r="A149" t="s">
        <v>577</v>
      </c>
      <c r="B149">
        <v>0.307</v>
      </c>
      <c r="C149" t="s">
        <v>578</v>
      </c>
    </row>
    <row r="150" spans="1:10" x14ac:dyDescent="0.2">
      <c r="A150" t="s">
        <v>50</v>
      </c>
      <c r="B150">
        <v>0.15</v>
      </c>
    </row>
    <row r="151" spans="1:10" x14ac:dyDescent="0.2">
      <c r="A151" t="s">
        <v>577</v>
      </c>
      <c r="B151">
        <v>4.7E-2</v>
      </c>
    </row>
    <row r="153" spans="1:10" x14ac:dyDescent="0.2">
      <c r="A153" t="s">
        <v>586</v>
      </c>
    </row>
    <row r="155" spans="1:10" x14ac:dyDescent="0.2">
      <c r="B155" t="s">
        <v>587</v>
      </c>
      <c r="C155" t="s">
        <v>590</v>
      </c>
      <c r="D155" t="s">
        <v>591</v>
      </c>
      <c r="E155" t="s">
        <v>592</v>
      </c>
      <c r="F155" t="s">
        <v>593</v>
      </c>
      <c r="G155" t="s">
        <v>592</v>
      </c>
      <c r="I155" t="s">
        <v>594</v>
      </c>
    </row>
    <row r="156" spans="1:10" x14ac:dyDescent="0.2">
      <c r="B156" t="s">
        <v>588</v>
      </c>
      <c r="C156" t="s">
        <v>589</v>
      </c>
      <c r="D156" t="s">
        <v>588</v>
      </c>
      <c r="E156" t="s">
        <v>589</v>
      </c>
      <c r="F156" t="s">
        <v>588</v>
      </c>
      <c r="G156" t="s">
        <v>589</v>
      </c>
      <c r="I156" t="s">
        <v>588</v>
      </c>
      <c r="J156" t="s">
        <v>8</v>
      </c>
    </row>
    <row r="157" spans="1:10" x14ac:dyDescent="0.2">
      <c r="A157">
        <v>1967</v>
      </c>
      <c r="B157">
        <v>0</v>
      </c>
      <c r="C157">
        <v>0</v>
      </c>
      <c r="D157">
        <v>0.45</v>
      </c>
      <c r="E157">
        <v>0.28000000000000003</v>
      </c>
      <c r="F157">
        <v>0.32</v>
      </c>
      <c r="G157">
        <v>0.15</v>
      </c>
    </row>
    <row r="158" spans="1:10" x14ac:dyDescent="0.2">
      <c r="A158">
        <v>1968</v>
      </c>
      <c r="C158">
        <v>0</v>
      </c>
      <c r="E158">
        <v>0.24</v>
      </c>
      <c r="G158">
        <v>0.1</v>
      </c>
    </row>
    <row r="159" spans="1:10" x14ac:dyDescent="0.2">
      <c r="A159">
        <v>1969</v>
      </c>
      <c r="B159">
        <v>0.02</v>
      </c>
      <c r="C159">
        <v>0.03</v>
      </c>
      <c r="D159">
        <v>0.16</v>
      </c>
      <c r="E159">
        <v>0.18</v>
      </c>
      <c r="F159">
        <v>0.26</v>
      </c>
      <c r="G159">
        <v>0.06</v>
      </c>
    </row>
    <row r="160" spans="1:10" x14ac:dyDescent="0.2">
      <c r="A160">
        <v>1970</v>
      </c>
      <c r="B160">
        <v>0.1</v>
      </c>
      <c r="C160">
        <v>0.09</v>
      </c>
      <c r="D160">
        <v>0.3</v>
      </c>
      <c r="E160">
        <v>0.31</v>
      </c>
      <c r="F160">
        <v>0.26</v>
      </c>
      <c r="G160">
        <v>0.13</v>
      </c>
      <c r="J160">
        <v>54</v>
      </c>
    </row>
    <row r="161" spans="1:10" x14ac:dyDescent="0.2">
      <c r="A161">
        <v>1971</v>
      </c>
      <c r="B161">
        <v>7.0000000000000007E-2</v>
      </c>
      <c r="C161">
        <v>0.17</v>
      </c>
      <c r="D161">
        <v>0.9</v>
      </c>
      <c r="E161">
        <v>0.56999999999999995</v>
      </c>
      <c r="F161">
        <v>0.38</v>
      </c>
      <c r="G161">
        <v>0.27</v>
      </c>
      <c r="I161">
        <v>41</v>
      </c>
      <c r="J161">
        <v>62</v>
      </c>
    </row>
    <row r="162" spans="1:10" x14ac:dyDescent="0.2">
      <c r="A162">
        <v>1972</v>
      </c>
      <c r="B162">
        <v>0.22</v>
      </c>
      <c r="C162">
        <v>0.18</v>
      </c>
      <c r="D162">
        <v>1</v>
      </c>
      <c r="E162">
        <v>0.2</v>
      </c>
      <c r="F162">
        <v>0.11</v>
      </c>
      <c r="G162">
        <v>0.15</v>
      </c>
      <c r="I162">
        <v>41</v>
      </c>
      <c r="J162">
        <v>49</v>
      </c>
    </row>
    <row r="163" spans="1:10" x14ac:dyDescent="0.2">
      <c r="A163">
        <v>1973</v>
      </c>
      <c r="B163">
        <v>0.26</v>
      </c>
      <c r="C163">
        <v>0.27</v>
      </c>
      <c r="D163">
        <v>0.8</v>
      </c>
      <c r="E163">
        <v>0.17</v>
      </c>
      <c r="F163">
        <v>0.15</v>
      </c>
      <c r="G163">
        <v>0.13</v>
      </c>
      <c r="I163">
        <v>53</v>
      </c>
      <c r="J163">
        <v>65</v>
      </c>
    </row>
    <row r="164" spans="1:10" x14ac:dyDescent="0.2">
      <c r="A164">
        <v>1974</v>
      </c>
      <c r="B164">
        <v>0.4</v>
      </c>
      <c r="C164">
        <v>0.27</v>
      </c>
      <c r="D164">
        <v>1.05</v>
      </c>
      <c r="E164">
        <v>0.3</v>
      </c>
      <c r="F164">
        <v>0.14000000000000001</v>
      </c>
      <c r="G164">
        <v>0.18</v>
      </c>
      <c r="I164">
        <v>76</v>
      </c>
      <c r="J164">
        <v>89</v>
      </c>
    </row>
    <row r="165" spans="1:10" x14ac:dyDescent="0.2">
      <c r="A165">
        <v>1975</v>
      </c>
      <c r="B165">
        <v>0.35</v>
      </c>
      <c r="C165">
        <v>0.28000000000000003</v>
      </c>
      <c r="D165">
        <v>1.9</v>
      </c>
      <c r="E165">
        <v>0.39</v>
      </c>
      <c r="F165">
        <v>0.14000000000000001</v>
      </c>
      <c r="G165">
        <v>0.12</v>
      </c>
      <c r="I165">
        <v>78</v>
      </c>
      <c r="J165">
        <v>78</v>
      </c>
    </row>
    <row r="166" spans="1:10" x14ac:dyDescent="0.2">
      <c r="A166">
        <v>1976</v>
      </c>
      <c r="B166">
        <v>0.37</v>
      </c>
      <c r="C166">
        <v>0.41</v>
      </c>
      <c r="D166">
        <v>1.6</v>
      </c>
      <c r="E166">
        <v>0.48</v>
      </c>
      <c r="F166">
        <v>0.41</v>
      </c>
      <c r="G166">
        <v>0.16</v>
      </c>
      <c r="I166">
        <v>123</v>
      </c>
      <c r="J166">
        <v>93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AA6F-7C59-B14F-A85C-9578E344C309}">
  <dimension ref="A1:H26"/>
  <sheetViews>
    <sheetView tabSelected="1" workbookViewId="0">
      <selection activeCell="A11" sqref="A11"/>
    </sheetView>
  </sheetViews>
  <sheetFormatPr baseColWidth="10" defaultRowHeight="15" x14ac:dyDescent="0.2"/>
  <sheetData>
    <row r="1" spans="1:8" x14ac:dyDescent="0.2">
      <c r="C1" t="s">
        <v>695</v>
      </c>
    </row>
    <row r="2" spans="1:8" x14ac:dyDescent="0.2">
      <c r="A2" t="s">
        <v>696</v>
      </c>
      <c r="B2" s="2"/>
      <c r="C2" s="2" t="s">
        <v>50</v>
      </c>
      <c r="E2" s="2"/>
      <c r="F2" s="2"/>
      <c r="G2" s="2"/>
      <c r="H2" s="2"/>
    </row>
    <row r="3" spans="1:8" x14ac:dyDescent="0.2">
      <c r="A3" s="21" t="s">
        <v>713</v>
      </c>
      <c r="B3" s="2">
        <v>6</v>
      </c>
      <c r="C3" s="2">
        <v>120</v>
      </c>
      <c r="E3" s="2"/>
      <c r="F3" s="2"/>
      <c r="G3" s="2"/>
      <c r="H3" s="2"/>
    </row>
    <row r="4" spans="1:8" x14ac:dyDescent="0.2">
      <c r="A4" s="21" t="s">
        <v>714</v>
      </c>
      <c r="B4" s="2">
        <v>6</v>
      </c>
      <c r="C4" s="2">
        <v>120</v>
      </c>
      <c r="E4" s="2"/>
      <c r="F4" s="2"/>
      <c r="G4" s="2"/>
      <c r="H4" s="2"/>
    </row>
    <row r="5" spans="1:8" x14ac:dyDescent="0.2">
      <c r="A5" s="21" t="s">
        <v>715</v>
      </c>
      <c r="B5" s="2">
        <v>3</v>
      </c>
      <c r="C5" s="2">
        <v>60</v>
      </c>
      <c r="E5" s="2"/>
      <c r="F5" s="2"/>
      <c r="G5" s="2"/>
      <c r="H5" s="2"/>
    </row>
    <row r="6" spans="1:8" x14ac:dyDescent="0.2">
      <c r="A6" s="21" t="s">
        <v>716</v>
      </c>
      <c r="B6" s="2">
        <v>14</v>
      </c>
      <c r="C6" s="2">
        <v>280</v>
      </c>
      <c r="E6" s="2"/>
      <c r="F6" s="2"/>
      <c r="G6" s="2"/>
      <c r="H6" s="2"/>
    </row>
    <row r="7" spans="1:8" x14ac:dyDescent="0.2">
      <c r="A7" s="21" t="s">
        <v>717</v>
      </c>
      <c r="B7" s="2">
        <v>14</v>
      </c>
      <c r="C7" s="2">
        <v>280</v>
      </c>
      <c r="E7" s="2"/>
      <c r="F7" s="2"/>
      <c r="G7" s="2"/>
      <c r="H7" s="2"/>
    </row>
    <row r="8" spans="1:8" x14ac:dyDescent="0.2">
      <c r="A8" s="21" t="s">
        <v>718</v>
      </c>
      <c r="B8" s="2">
        <v>14</v>
      </c>
      <c r="C8" s="2">
        <v>280</v>
      </c>
      <c r="E8" s="2"/>
      <c r="F8" s="2"/>
      <c r="G8" s="2"/>
      <c r="H8" s="2"/>
    </row>
    <row r="9" spans="1:8" x14ac:dyDescent="0.2">
      <c r="A9" s="21" t="s">
        <v>719</v>
      </c>
      <c r="B9" s="2">
        <v>23</v>
      </c>
      <c r="C9" s="2">
        <v>460</v>
      </c>
      <c r="E9" s="2"/>
      <c r="F9" s="2"/>
      <c r="G9" s="2"/>
      <c r="H9" s="2"/>
    </row>
    <row r="10" spans="1:8" x14ac:dyDescent="0.2">
      <c r="A10" s="21" t="s">
        <v>720</v>
      </c>
      <c r="B10" s="2">
        <v>22</v>
      </c>
      <c r="C10" s="2">
        <v>440</v>
      </c>
      <c r="E10" s="2"/>
      <c r="F10" s="2"/>
      <c r="G10" s="2"/>
      <c r="H10" s="2"/>
    </row>
    <row r="11" spans="1:8" x14ac:dyDescent="0.2">
      <c r="A11" t="s">
        <v>697</v>
      </c>
      <c r="B11" s="2">
        <v>24</v>
      </c>
      <c r="C11" s="2">
        <v>480</v>
      </c>
      <c r="D11" s="2"/>
      <c r="E11" s="2"/>
      <c r="F11" s="2"/>
      <c r="G11" s="2"/>
      <c r="H11" s="2"/>
    </row>
    <row r="12" spans="1:8" x14ac:dyDescent="0.2">
      <c r="A12" t="s">
        <v>698</v>
      </c>
      <c r="B12" s="2">
        <v>15</v>
      </c>
      <c r="C12" s="2">
        <v>300</v>
      </c>
      <c r="D12" s="2"/>
      <c r="E12" s="2"/>
      <c r="F12" s="2"/>
      <c r="G12" s="2"/>
      <c r="H12" s="2"/>
    </row>
    <row r="13" spans="1:8" x14ac:dyDescent="0.2">
      <c r="A13" t="s">
        <v>699</v>
      </c>
      <c r="B13" s="2">
        <v>6</v>
      </c>
      <c r="C13" s="2">
        <v>120</v>
      </c>
      <c r="D13" s="2"/>
      <c r="E13" s="2"/>
      <c r="F13" s="2"/>
      <c r="G13" s="2"/>
      <c r="H13" s="2"/>
    </row>
    <row r="14" spans="1:8" x14ac:dyDescent="0.2">
      <c r="A14" t="s">
        <v>700</v>
      </c>
      <c r="B14" s="2">
        <v>8</v>
      </c>
      <c r="C14" s="2">
        <v>160</v>
      </c>
      <c r="D14" s="2"/>
      <c r="E14" s="2"/>
      <c r="F14" s="2"/>
      <c r="G14" s="2"/>
      <c r="H14" s="2"/>
    </row>
    <row r="15" spans="1:8" x14ac:dyDescent="0.2">
      <c r="A15" t="s">
        <v>701</v>
      </c>
      <c r="B15" s="2">
        <v>4</v>
      </c>
      <c r="C15" s="2">
        <v>80</v>
      </c>
      <c r="D15" s="2"/>
      <c r="E15" s="2"/>
      <c r="F15" s="2"/>
      <c r="G15" s="2"/>
      <c r="H15" s="2"/>
    </row>
    <row r="16" spans="1:8" x14ac:dyDescent="0.2">
      <c r="A16" t="s">
        <v>702</v>
      </c>
      <c r="B16" s="2">
        <v>2</v>
      </c>
      <c r="C16" s="2">
        <v>40</v>
      </c>
      <c r="D16" s="2"/>
      <c r="E16" s="2"/>
      <c r="F16" s="2"/>
      <c r="G16" s="2"/>
      <c r="H16" s="2"/>
    </row>
    <row r="17" spans="1:8" x14ac:dyDescent="0.2">
      <c r="A17" t="s">
        <v>703</v>
      </c>
      <c r="B17" s="2">
        <v>5</v>
      </c>
      <c r="C17" s="2">
        <v>100</v>
      </c>
      <c r="D17" s="2"/>
      <c r="E17" s="2"/>
      <c r="F17" s="2"/>
      <c r="G17" s="2"/>
      <c r="H17" s="2"/>
    </row>
    <row r="18" spans="1:8" x14ac:dyDescent="0.2">
      <c r="A18" t="s">
        <v>704</v>
      </c>
      <c r="B18" s="2">
        <v>13</v>
      </c>
      <c r="C18" s="2">
        <v>260</v>
      </c>
      <c r="D18" s="2"/>
      <c r="E18" s="2"/>
      <c r="F18" s="2"/>
      <c r="G18" s="2"/>
      <c r="H18" s="2"/>
    </row>
    <row r="19" spans="1:8" x14ac:dyDescent="0.2">
      <c r="A19" t="s">
        <v>705</v>
      </c>
      <c r="B19" s="2">
        <v>15</v>
      </c>
      <c r="C19" s="2">
        <v>300</v>
      </c>
    </row>
    <row r="20" spans="1:8" x14ac:dyDescent="0.2">
      <c r="A20" t="s">
        <v>706</v>
      </c>
      <c r="B20" s="2">
        <v>19</v>
      </c>
      <c r="C20" s="2">
        <v>380</v>
      </c>
    </row>
    <row r="21" spans="1:8" x14ac:dyDescent="0.2">
      <c r="A21" t="s">
        <v>707</v>
      </c>
      <c r="B21" s="2">
        <v>20</v>
      </c>
      <c r="C21" s="2">
        <v>400</v>
      </c>
    </row>
    <row r="22" spans="1:8" x14ac:dyDescent="0.2">
      <c r="A22" t="s">
        <v>708</v>
      </c>
      <c r="B22" s="2">
        <v>22</v>
      </c>
      <c r="C22" s="2">
        <v>440</v>
      </c>
    </row>
    <row r="23" spans="1:8" x14ac:dyDescent="0.2">
      <c r="A23" t="s">
        <v>709</v>
      </c>
      <c r="B23" s="2">
        <v>30</v>
      </c>
      <c r="C23" s="2">
        <v>600</v>
      </c>
    </row>
    <row r="24" spans="1:8" x14ac:dyDescent="0.2">
      <c r="A24" t="s">
        <v>710</v>
      </c>
      <c r="B24" s="2">
        <v>30</v>
      </c>
      <c r="C24" s="2">
        <v>600</v>
      </c>
    </row>
    <row r="25" spans="1:8" x14ac:dyDescent="0.2">
      <c r="A25" t="s">
        <v>711</v>
      </c>
      <c r="B25" s="2">
        <v>28</v>
      </c>
      <c r="C25" s="2">
        <v>560</v>
      </c>
    </row>
    <row r="26" spans="1:8" x14ac:dyDescent="0.2">
      <c r="A26" t="s">
        <v>712</v>
      </c>
      <c r="B26" s="2">
        <v>34</v>
      </c>
      <c r="C26" s="2">
        <v>680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BDE4-FCFD-B546-80F3-67264EEEF472}">
  <dimension ref="A1:M58"/>
  <sheetViews>
    <sheetView topLeftCell="A2" workbookViewId="0">
      <selection activeCell="A31" sqref="A31:I38"/>
    </sheetView>
  </sheetViews>
  <sheetFormatPr baseColWidth="10" defaultRowHeight="15" x14ac:dyDescent="0.2"/>
  <cols>
    <col min="1" max="1" width="17.83203125" bestFit="1" customWidth="1"/>
  </cols>
  <sheetData>
    <row r="1" spans="1:10" x14ac:dyDescent="0.2">
      <c r="A1" t="s">
        <v>607</v>
      </c>
    </row>
    <row r="2" spans="1:10" x14ac:dyDescent="0.2">
      <c r="A2" t="s">
        <v>608</v>
      </c>
      <c r="B2">
        <v>215</v>
      </c>
    </row>
    <row r="3" spans="1:10" x14ac:dyDescent="0.2">
      <c r="A3" t="s">
        <v>609</v>
      </c>
      <c r="B3">
        <v>116</v>
      </c>
    </row>
    <row r="4" spans="1:10" x14ac:dyDescent="0.2">
      <c r="A4" t="s">
        <v>610</v>
      </c>
      <c r="B4">
        <v>39.9</v>
      </c>
    </row>
    <row r="5" spans="1:10" x14ac:dyDescent="0.2">
      <c r="A5" t="s">
        <v>611</v>
      </c>
      <c r="B5">
        <v>3.1</v>
      </c>
    </row>
    <row r="6" spans="1:10" x14ac:dyDescent="0.2">
      <c r="A6" t="s">
        <v>612</v>
      </c>
      <c r="B6">
        <v>5.9</v>
      </c>
    </row>
    <row r="7" spans="1:10" x14ac:dyDescent="0.2">
      <c r="A7" t="s">
        <v>613</v>
      </c>
      <c r="B7" t="s">
        <v>615</v>
      </c>
    </row>
    <row r="8" spans="1:10" x14ac:dyDescent="0.2">
      <c r="A8" t="s">
        <v>616</v>
      </c>
      <c r="B8" t="s">
        <v>614</v>
      </c>
    </row>
    <row r="11" spans="1:10" x14ac:dyDescent="0.2">
      <c r="A11" s="2" t="s">
        <v>568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B12" s="22" t="s">
        <v>567</v>
      </c>
      <c r="C12" s="22"/>
      <c r="D12" s="22" t="s">
        <v>546</v>
      </c>
      <c r="E12" s="22"/>
      <c r="F12" s="22" t="s">
        <v>253</v>
      </c>
      <c r="G12" s="22"/>
    </row>
    <row r="13" spans="1:10" x14ac:dyDescent="0.2">
      <c r="B13" s="22" t="s">
        <v>617</v>
      </c>
      <c r="C13" s="22"/>
      <c r="D13" s="22"/>
      <c r="E13" s="22"/>
      <c r="F13" s="22"/>
      <c r="G13" s="22"/>
    </row>
    <row r="14" spans="1:10" ht="32" x14ac:dyDescent="0.2">
      <c r="A14" s="16" t="s">
        <v>554</v>
      </c>
      <c r="B14" t="s">
        <v>50</v>
      </c>
      <c r="C14" t="s">
        <v>52</v>
      </c>
      <c r="D14" t="s">
        <v>50</v>
      </c>
      <c r="E14" t="s">
        <v>52</v>
      </c>
      <c r="F14" t="s">
        <v>50</v>
      </c>
      <c r="G14" t="s">
        <v>52</v>
      </c>
    </row>
    <row r="15" spans="1:10" ht="16" x14ac:dyDescent="0.2">
      <c r="A15" s="16" t="s">
        <v>547</v>
      </c>
      <c r="B15">
        <v>81</v>
      </c>
      <c r="C15">
        <v>508</v>
      </c>
      <c r="D15">
        <v>72</v>
      </c>
      <c r="E15">
        <v>449</v>
      </c>
      <c r="F15">
        <v>6.84</v>
      </c>
      <c r="G15">
        <v>247</v>
      </c>
    </row>
    <row r="16" spans="1:10" ht="32" x14ac:dyDescent="0.2">
      <c r="A16" s="16" t="s">
        <v>548</v>
      </c>
      <c r="F16">
        <v>9.5</v>
      </c>
      <c r="G16">
        <v>55</v>
      </c>
    </row>
    <row r="17" spans="1:9" ht="48" x14ac:dyDescent="0.2">
      <c r="A17" s="16" t="s">
        <v>618</v>
      </c>
      <c r="D17">
        <v>62.6</v>
      </c>
      <c r="E17">
        <v>199</v>
      </c>
      <c r="F17">
        <v>2.2200000000000002</v>
      </c>
      <c r="G17">
        <v>23.3</v>
      </c>
    </row>
    <row r="18" spans="1:9" ht="32" x14ac:dyDescent="0.2">
      <c r="A18" s="16" t="s">
        <v>579</v>
      </c>
      <c r="D18">
        <v>87</v>
      </c>
      <c r="E18">
        <v>44</v>
      </c>
      <c r="F18">
        <v>32</v>
      </c>
      <c r="G18">
        <v>9</v>
      </c>
    </row>
    <row r="19" spans="1:9" ht="32" x14ac:dyDescent="0.2">
      <c r="A19" s="16" t="s">
        <v>580</v>
      </c>
      <c r="F19">
        <v>3.5</v>
      </c>
      <c r="G19">
        <v>11.7</v>
      </c>
    </row>
    <row r="21" spans="1:9" ht="16" x14ac:dyDescent="0.2">
      <c r="A21" s="16" t="s">
        <v>566</v>
      </c>
    </row>
    <row r="22" spans="1:9" x14ac:dyDescent="0.2">
      <c r="A22" s="2" t="s">
        <v>345</v>
      </c>
      <c r="D22">
        <v>1988</v>
      </c>
      <c r="E22">
        <v>1997</v>
      </c>
      <c r="F22">
        <v>2002</v>
      </c>
      <c r="G22">
        <v>2009</v>
      </c>
      <c r="H22">
        <v>2014</v>
      </c>
      <c r="I22">
        <v>2018</v>
      </c>
    </row>
    <row r="23" spans="1:9" x14ac:dyDescent="0.2">
      <c r="A23" s="2" t="s">
        <v>183</v>
      </c>
      <c r="B23" t="s">
        <v>95</v>
      </c>
      <c r="D23">
        <v>42.98</v>
      </c>
      <c r="E23">
        <v>44.91</v>
      </c>
      <c r="F23">
        <v>47.96</v>
      </c>
      <c r="G23">
        <v>30.89</v>
      </c>
      <c r="H23">
        <v>33.130000000000003</v>
      </c>
      <c r="I23">
        <v>35.47</v>
      </c>
    </row>
    <row r="24" spans="1:9" x14ac:dyDescent="0.2">
      <c r="A24" s="2"/>
      <c r="B24" t="s">
        <v>205</v>
      </c>
      <c r="D24">
        <v>140.30000000000001</v>
      </c>
      <c r="E24">
        <v>179.7</v>
      </c>
      <c r="F24">
        <v>175.8</v>
      </c>
      <c r="G24">
        <v>111.1</v>
      </c>
      <c r="H24">
        <v>107.5</v>
      </c>
      <c r="I24">
        <v>125.3</v>
      </c>
    </row>
    <row r="25" spans="1:9" x14ac:dyDescent="0.2">
      <c r="A25" s="2"/>
      <c r="B25" t="s">
        <v>104</v>
      </c>
      <c r="D25">
        <v>338</v>
      </c>
      <c r="E25">
        <v>459</v>
      </c>
      <c r="F25">
        <v>350</v>
      </c>
      <c r="G25">
        <v>276</v>
      </c>
      <c r="H25">
        <v>275</v>
      </c>
      <c r="I25">
        <v>335</v>
      </c>
    </row>
    <row r="26" spans="1:9" x14ac:dyDescent="0.2">
      <c r="A26" s="2"/>
      <c r="B26" t="s">
        <v>342</v>
      </c>
      <c r="D26">
        <v>730</v>
      </c>
      <c r="E26">
        <v>1111</v>
      </c>
      <c r="F26">
        <v>749</v>
      </c>
      <c r="G26">
        <v>607</v>
      </c>
      <c r="H26">
        <v>599</v>
      </c>
      <c r="I26">
        <v>781</v>
      </c>
    </row>
    <row r="27" spans="1:9" x14ac:dyDescent="0.2">
      <c r="A27" s="2"/>
      <c r="B27" t="s">
        <v>301</v>
      </c>
      <c r="D27">
        <v>1616</v>
      </c>
      <c r="E27">
        <v>2719</v>
      </c>
      <c r="F27">
        <v>1499</v>
      </c>
      <c r="G27">
        <v>1206</v>
      </c>
      <c r="H27">
        <v>1289</v>
      </c>
      <c r="I27">
        <v>1716</v>
      </c>
    </row>
    <row r="30" spans="1:9" x14ac:dyDescent="0.2">
      <c r="A30" s="2" t="s">
        <v>561</v>
      </c>
      <c r="B30" s="2" t="s">
        <v>528</v>
      </c>
      <c r="C30" s="2"/>
      <c r="D30" s="2"/>
      <c r="E30" s="2"/>
      <c r="F30" s="2"/>
      <c r="G30" s="2"/>
      <c r="H30" s="2"/>
      <c r="I30" s="2"/>
    </row>
    <row r="31" spans="1:9" x14ac:dyDescent="0.2">
      <c r="A31" s="2" t="s">
        <v>536</v>
      </c>
      <c r="B31" s="2" t="s">
        <v>530</v>
      </c>
      <c r="C31" s="2"/>
      <c r="D31" s="2" t="s">
        <v>520</v>
      </c>
      <c r="E31" s="2"/>
      <c r="F31" s="2" t="s">
        <v>513</v>
      </c>
      <c r="G31" s="2"/>
      <c r="H31" s="2" t="s">
        <v>558</v>
      </c>
      <c r="I31" s="2"/>
    </row>
    <row r="32" spans="1:9" x14ac:dyDescent="0.2">
      <c r="A32" s="2" t="s">
        <v>537</v>
      </c>
      <c r="B32" s="2" t="s">
        <v>3</v>
      </c>
      <c r="C32" s="2" t="s">
        <v>504</v>
      </c>
      <c r="D32" s="2" t="s">
        <v>3</v>
      </c>
      <c r="E32" s="2" t="s">
        <v>504</v>
      </c>
      <c r="F32" s="2" t="s">
        <v>3</v>
      </c>
      <c r="G32" s="2" t="s">
        <v>504</v>
      </c>
      <c r="H32" s="2" t="s">
        <v>3</v>
      </c>
      <c r="I32" s="2" t="s">
        <v>504</v>
      </c>
    </row>
    <row r="33" spans="1:13" x14ac:dyDescent="0.2">
      <c r="A33" s="2" t="s">
        <v>675</v>
      </c>
      <c r="B33" s="17">
        <v>372</v>
      </c>
      <c r="C33" s="17" t="s">
        <v>688</v>
      </c>
      <c r="D33">
        <v>165</v>
      </c>
      <c r="E33" t="s">
        <v>619</v>
      </c>
      <c r="F33">
        <v>9.7000000000000011</v>
      </c>
      <c r="G33" t="s">
        <v>620</v>
      </c>
      <c r="H33" s="17">
        <v>7.2460237819972777</v>
      </c>
      <c r="I33" t="s">
        <v>621</v>
      </c>
    </row>
    <row r="34" spans="1:13" x14ac:dyDescent="0.2">
      <c r="A34" s="20" t="s">
        <v>676</v>
      </c>
      <c r="B34" s="17">
        <v>346</v>
      </c>
      <c r="C34" s="17" t="s">
        <v>689</v>
      </c>
      <c r="D34">
        <v>147</v>
      </c>
      <c r="E34" t="s">
        <v>622</v>
      </c>
      <c r="F34">
        <v>10.3</v>
      </c>
      <c r="G34" t="s">
        <v>623</v>
      </c>
      <c r="H34" s="17">
        <v>9.3471399752314248</v>
      </c>
      <c r="I34" t="s">
        <v>624</v>
      </c>
    </row>
    <row r="35" spans="1:13" x14ac:dyDescent="0.2">
      <c r="A35" s="20" t="s">
        <v>677</v>
      </c>
      <c r="B35" s="17">
        <v>300</v>
      </c>
      <c r="C35" s="17" t="s">
        <v>690</v>
      </c>
      <c r="D35">
        <v>132</v>
      </c>
      <c r="E35" t="s">
        <v>625</v>
      </c>
      <c r="F35">
        <v>11.1</v>
      </c>
      <c r="G35" t="s">
        <v>626</v>
      </c>
      <c r="H35" s="17">
        <v>11.561646263438469</v>
      </c>
      <c r="I35" t="s">
        <v>627</v>
      </c>
    </row>
    <row r="36" spans="1:13" x14ac:dyDescent="0.2">
      <c r="A36" s="20" t="s">
        <v>678</v>
      </c>
      <c r="B36" s="17">
        <v>270</v>
      </c>
      <c r="C36" s="17" t="s">
        <v>691</v>
      </c>
      <c r="D36">
        <v>156</v>
      </c>
      <c r="E36" t="s">
        <v>628</v>
      </c>
      <c r="F36">
        <v>12.1</v>
      </c>
      <c r="G36" t="s">
        <v>629</v>
      </c>
      <c r="H36" s="17">
        <v>13.6291953649877</v>
      </c>
      <c r="I36" t="s">
        <v>630</v>
      </c>
    </row>
    <row r="37" spans="1:13" x14ac:dyDescent="0.2">
      <c r="A37" s="2" t="s">
        <v>679</v>
      </c>
      <c r="B37" s="17">
        <v>231</v>
      </c>
      <c r="C37" s="17" t="s">
        <v>692</v>
      </c>
      <c r="D37">
        <v>134</v>
      </c>
      <c r="E37" t="s">
        <v>631</v>
      </c>
      <c r="F37">
        <v>13.5</v>
      </c>
      <c r="G37" t="s">
        <v>632</v>
      </c>
      <c r="H37" s="17">
        <v>16.339608607997388</v>
      </c>
      <c r="I37" t="s">
        <v>633</v>
      </c>
    </row>
    <row r="38" spans="1:13" x14ac:dyDescent="0.2">
      <c r="A38" s="2" t="s">
        <v>680</v>
      </c>
      <c r="B38" s="17">
        <v>220</v>
      </c>
      <c r="C38" s="17" t="s">
        <v>693</v>
      </c>
      <c r="D38">
        <v>126</v>
      </c>
      <c r="E38" t="s">
        <v>634</v>
      </c>
      <c r="F38">
        <v>14.1</v>
      </c>
      <c r="G38" t="s">
        <v>635</v>
      </c>
      <c r="H38" s="17">
        <v>20.839097244287792</v>
      </c>
      <c r="I38" t="s">
        <v>636</v>
      </c>
    </row>
    <row r="40" spans="1:13" x14ac:dyDescent="0.2">
      <c r="A40" s="2" t="s">
        <v>560</v>
      </c>
    </row>
    <row r="41" spans="1:13" x14ac:dyDescent="0.2">
      <c r="B41" s="2">
        <v>1988</v>
      </c>
      <c r="C41" s="2">
        <v>1993</v>
      </c>
      <c r="D41" s="2">
        <v>1997</v>
      </c>
      <c r="E41" s="2">
        <v>1988</v>
      </c>
      <c r="F41" s="2">
        <v>1997</v>
      </c>
      <c r="G41" s="2">
        <v>1988</v>
      </c>
      <c r="H41" s="2">
        <v>1993</v>
      </c>
      <c r="I41" s="2">
        <v>1997</v>
      </c>
      <c r="J41" s="2">
        <v>2002</v>
      </c>
      <c r="K41" s="2">
        <v>2009</v>
      </c>
      <c r="L41" s="2">
        <v>2014</v>
      </c>
      <c r="M41" s="2">
        <v>2018</v>
      </c>
    </row>
    <row r="42" spans="1:13" x14ac:dyDescent="0.2">
      <c r="A42" s="2" t="s">
        <v>681</v>
      </c>
      <c r="B42" s="23" t="s">
        <v>108</v>
      </c>
      <c r="C42" s="23"/>
      <c r="D42" s="23"/>
      <c r="E42" s="23" t="s">
        <v>109</v>
      </c>
      <c r="F42" s="23"/>
      <c r="G42" s="23" t="s">
        <v>110</v>
      </c>
      <c r="H42" s="23"/>
      <c r="I42" s="23"/>
      <c r="J42" s="23"/>
      <c r="K42" s="23"/>
      <c r="L42" s="23"/>
      <c r="M42" s="23"/>
    </row>
    <row r="43" spans="1:13" x14ac:dyDescent="0.2">
      <c r="A43" s="2" t="s">
        <v>675</v>
      </c>
      <c r="B43" s="2" t="s">
        <v>637</v>
      </c>
      <c r="C43" s="2" t="s">
        <v>638</v>
      </c>
      <c r="D43" s="2" t="s">
        <v>639</v>
      </c>
      <c r="E43" s="2" t="s">
        <v>640</v>
      </c>
      <c r="F43" s="2" t="s">
        <v>641</v>
      </c>
      <c r="G43" s="2" t="s">
        <v>642</v>
      </c>
      <c r="H43" s="2" t="s">
        <v>435</v>
      </c>
      <c r="I43" s="2" t="s">
        <v>643</v>
      </c>
      <c r="J43" s="19">
        <v>96.730158730158735</v>
      </c>
      <c r="K43" s="19">
        <v>108.73271889400924</v>
      </c>
      <c r="L43" s="19">
        <v>100.65359477124183</v>
      </c>
      <c r="M43" s="19">
        <v>91.177777777777777</v>
      </c>
    </row>
    <row r="44" spans="1:13" x14ac:dyDescent="0.2">
      <c r="A44" s="20" t="s">
        <v>676</v>
      </c>
      <c r="B44" s="2" t="s">
        <v>644</v>
      </c>
      <c r="C44" s="2" t="s">
        <v>645</v>
      </c>
      <c r="D44" s="2" t="s">
        <v>646</v>
      </c>
      <c r="E44" s="2" t="s">
        <v>647</v>
      </c>
      <c r="F44" s="2" t="s">
        <v>648</v>
      </c>
      <c r="G44" s="2" t="s">
        <v>649</v>
      </c>
      <c r="H44" s="2" t="s">
        <v>436</v>
      </c>
      <c r="I44" s="2" t="s">
        <v>650</v>
      </c>
      <c r="J44" s="19">
        <v>111.72857142857144</v>
      </c>
      <c r="K44" s="19">
        <v>101.09268292682928</v>
      </c>
      <c r="L44" s="19">
        <v>95.806451612903217</v>
      </c>
      <c r="M44" s="19">
        <v>100.92500000000001</v>
      </c>
    </row>
    <row r="45" spans="1:13" x14ac:dyDescent="0.2">
      <c r="A45" s="20" t="s">
        <v>677</v>
      </c>
      <c r="B45" s="2" t="s">
        <v>651</v>
      </c>
      <c r="C45" s="2" t="s">
        <v>652</v>
      </c>
      <c r="D45" s="2" t="s">
        <v>653</v>
      </c>
      <c r="E45" s="2" t="s">
        <v>654</v>
      </c>
      <c r="F45" s="2" t="s">
        <v>655</v>
      </c>
      <c r="G45" s="2" t="s">
        <v>656</v>
      </c>
      <c r="H45" s="2" t="s">
        <v>437</v>
      </c>
      <c r="I45" s="2" t="s">
        <v>657</v>
      </c>
      <c r="J45" s="19">
        <v>111.66666666666667</v>
      </c>
      <c r="K45" s="19">
        <v>104.53072625698326</v>
      </c>
      <c r="L45" s="19">
        <v>79.0625</v>
      </c>
      <c r="M45" s="19">
        <v>77.846153846153854</v>
      </c>
    </row>
    <row r="46" spans="1:13" x14ac:dyDescent="0.2">
      <c r="A46" s="20" t="s">
        <v>678</v>
      </c>
      <c r="B46" s="2" t="s">
        <v>658</v>
      </c>
      <c r="C46" s="2" t="s">
        <v>659</v>
      </c>
      <c r="D46" s="2" t="s">
        <v>660</v>
      </c>
      <c r="E46" s="2" t="s">
        <v>661</v>
      </c>
      <c r="F46" s="2" t="s">
        <v>662</v>
      </c>
      <c r="G46" s="2" t="s">
        <v>402</v>
      </c>
      <c r="H46" s="2" t="s">
        <v>438</v>
      </c>
      <c r="I46" s="2" t="s">
        <v>663</v>
      </c>
      <c r="J46" s="19">
        <v>123.24786324786326</v>
      </c>
      <c r="K46" s="19">
        <v>118.19148936170214</v>
      </c>
      <c r="L46" s="19">
        <v>107.53363228699553</v>
      </c>
      <c r="M46" s="19">
        <v>82.322580645161295</v>
      </c>
    </row>
    <row r="47" spans="1:13" x14ac:dyDescent="0.2">
      <c r="A47" s="2" t="s">
        <v>679</v>
      </c>
      <c r="B47" s="2" t="s">
        <v>664</v>
      </c>
      <c r="C47" s="2" t="s">
        <v>660</v>
      </c>
      <c r="D47" s="2" t="s">
        <v>665</v>
      </c>
      <c r="E47" s="2" t="s">
        <v>666</v>
      </c>
      <c r="F47" s="2" t="s">
        <v>667</v>
      </c>
      <c r="G47" s="2" t="s">
        <v>403</v>
      </c>
      <c r="H47" s="2" t="s">
        <v>439</v>
      </c>
      <c r="I47" s="2" t="s">
        <v>668</v>
      </c>
      <c r="J47" s="19">
        <v>143.14163090128756</v>
      </c>
      <c r="K47" s="19">
        <v>125.17829457364343</v>
      </c>
      <c r="L47" s="19">
        <v>125.35849056603773</v>
      </c>
      <c r="M47" s="19">
        <v>137.94000000000003</v>
      </c>
    </row>
    <row r="48" spans="1:13" x14ac:dyDescent="0.2">
      <c r="A48" s="2" t="s">
        <v>680</v>
      </c>
      <c r="B48" s="2" t="s">
        <v>669</v>
      </c>
      <c r="C48" s="2" t="s">
        <v>670</v>
      </c>
      <c r="D48" s="2" t="s">
        <v>671</v>
      </c>
      <c r="E48" s="2" t="s">
        <v>672</v>
      </c>
      <c r="F48" s="2" t="s">
        <v>673</v>
      </c>
      <c r="G48" s="2" t="s">
        <v>404</v>
      </c>
      <c r="H48" s="2" t="s">
        <v>440</v>
      </c>
      <c r="I48" s="2" t="s">
        <v>674</v>
      </c>
      <c r="J48" s="19">
        <v>153.18518518518519</v>
      </c>
      <c r="K48" s="19">
        <v>240.67581837381206</v>
      </c>
      <c r="L48" s="19">
        <v>156.08108108108109</v>
      </c>
      <c r="M48" s="19">
        <v>110.75000000000001</v>
      </c>
    </row>
    <row r="49" spans="1:6" x14ac:dyDescent="0.2">
      <c r="A49" s="2"/>
    </row>
    <row r="51" spans="1:6" x14ac:dyDescent="0.2">
      <c r="A51" s="2" t="s">
        <v>595</v>
      </c>
      <c r="B51" s="2">
        <v>1993</v>
      </c>
      <c r="C51" s="2"/>
      <c r="D51" s="2"/>
      <c r="E51" s="2"/>
    </row>
    <row r="52" spans="1:6" x14ac:dyDescent="0.2">
      <c r="B52" s="2" t="s">
        <v>453</v>
      </c>
      <c r="C52" s="2" t="s">
        <v>455</v>
      </c>
      <c r="D52" s="2" t="s">
        <v>563</v>
      </c>
      <c r="E52" s="2" t="s">
        <v>564</v>
      </c>
      <c r="F52" s="2" t="s">
        <v>565</v>
      </c>
    </row>
    <row r="53" spans="1:6" x14ac:dyDescent="0.2">
      <c r="A53" s="2" t="s">
        <v>675</v>
      </c>
      <c r="B53" s="18">
        <v>24.388155696625457</v>
      </c>
      <c r="C53" s="18">
        <v>26.8059181897302</v>
      </c>
      <c r="D53" s="18">
        <v>35.4</v>
      </c>
      <c r="E53" s="18">
        <v>3</v>
      </c>
      <c r="F53" s="18">
        <f>100 - (B53+C53+D53+E53)</f>
        <v>10.405926113644341</v>
      </c>
    </row>
    <row r="54" spans="1:6" x14ac:dyDescent="0.2">
      <c r="A54" s="20" t="s">
        <v>676</v>
      </c>
      <c r="B54" s="18">
        <v>13.184260493677533</v>
      </c>
      <c r="C54" s="18">
        <v>30.260869565217398</v>
      </c>
      <c r="D54" s="18">
        <v>38.799999999999997</v>
      </c>
      <c r="E54" s="18">
        <v>3.1</v>
      </c>
      <c r="F54" s="18">
        <f t="shared" ref="F54:F58" si="0">100 - (B54+C54+D54+E54)</f>
        <v>14.654869941105076</v>
      </c>
    </row>
    <row r="55" spans="1:6" x14ac:dyDescent="0.2">
      <c r="A55" s="20" t="s">
        <v>677</v>
      </c>
      <c r="B55" s="18">
        <v>15.391240837331551</v>
      </c>
      <c r="C55" s="18">
        <v>30.443756449948403</v>
      </c>
      <c r="D55" s="18">
        <v>37.9</v>
      </c>
      <c r="E55" s="18">
        <v>1</v>
      </c>
      <c r="F55" s="18">
        <f t="shared" si="0"/>
        <v>15.265002712720047</v>
      </c>
    </row>
    <row r="56" spans="1:6" x14ac:dyDescent="0.2">
      <c r="A56" s="20" t="s">
        <v>678</v>
      </c>
      <c r="B56" s="18">
        <v>12.846753071278609</v>
      </c>
      <c r="C56" s="18">
        <v>35.183695360686521</v>
      </c>
      <c r="D56" s="18">
        <v>30.9</v>
      </c>
      <c r="E56" s="18">
        <v>2.8</v>
      </c>
      <c r="F56" s="18">
        <f t="shared" si="0"/>
        <v>18.269551568034885</v>
      </c>
    </row>
    <row r="57" spans="1:6" x14ac:dyDescent="0.2">
      <c r="A57" s="2" t="s">
        <v>679</v>
      </c>
      <c r="B57" s="18">
        <v>13.349709931676877</v>
      </c>
      <c r="C57" s="18">
        <v>28.522240833798623</v>
      </c>
      <c r="D57" s="18">
        <v>35.799999999999997</v>
      </c>
      <c r="E57" s="18">
        <v>5.4</v>
      </c>
      <c r="F57" s="18">
        <f t="shared" si="0"/>
        <v>16.928049234524494</v>
      </c>
    </row>
    <row r="58" spans="1:6" x14ac:dyDescent="0.2">
      <c r="A58" s="2" t="s">
        <v>680</v>
      </c>
      <c r="B58" s="18">
        <v>12.506557868707795</v>
      </c>
      <c r="C58" s="18">
        <v>37.14047724043315</v>
      </c>
      <c r="D58" s="18">
        <v>30.5</v>
      </c>
      <c r="E58" s="18">
        <v>1.3</v>
      </c>
      <c r="F58" s="18">
        <f t="shared" si="0"/>
        <v>18.552964890859059</v>
      </c>
    </row>
  </sheetData>
  <mergeCells count="7">
    <mergeCell ref="B12:C12"/>
    <mergeCell ref="D12:E12"/>
    <mergeCell ref="F12:G12"/>
    <mergeCell ref="B13:G13"/>
    <mergeCell ref="B42:D42"/>
    <mergeCell ref="E42:F42"/>
    <mergeCell ref="G42:M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1608-3159-7B4B-86D2-44B05AC6A7DE}">
  <dimension ref="A1:I37"/>
  <sheetViews>
    <sheetView workbookViewId="0">
      <selection activeCell="J18" sqref="J18"/>
    </sheetView>
  </sheetViews>
  <sheetFormatPr baseColWidth="10" defaultRowHeight="15" x14ac:dyDescent="0.2"/>
  <sheetData>
    <row r="1" spans="1:9" x14ac:dyDescent="0.2">
      <c r="A1" t="s">
        <v>605</v>
      </c>
      <c r="B1">
        <v>1988</v>
      </c>
      <c r="C1">
        <v>1997</v>
      </c>
      <c r="D1">
        <v>2009</v>
      </c>
      <c r="E1">
        <v>2014</v>
      </c>
      <c r="F1">
        <v>2018</v>
      </c>
    </row>
    <row r="2" spans="1:9" x14ac:dyDescent="0.2">
      <c r="A2" t="s">
        <v>604</v>
      </c>
      <c r="B2">
        <v>44.5</v>
      </c>
      <c r="C2">
        <v>45</v>
      </c>
      <c r="D2">
        <v>32</v>
      </c>
      <c r="E2">
        <v>39</v>
      </c>
      <c r="F2">
        <v>31.4</v>
      </c>
    </row>
    <row r="3" spans="1:9" x14ac:dyDescent="0.2">
      <c r="A3" t="s">
        <v>604</v>
      </c>
      <c r="B3">
        <v>43.8</v>
      </c>
      <c r="C3">
        <v>44</v>
      </c>
      <c r="D3">
        <v>35.6</v>
      </c>
      <c r="E3">
        <v>39</v>
      </c>
      <c r="F3">
        <v>35.6</v>
      </c>
    </row>
    <row r="4" spans="1:9" x14ac:dyDescent="0.2">
      <c r="A4" t="s">
        <v>604</v>
      </c>
      <c r="B4">
        <v>43.4</v>
      </c>
      <c r="C4">
        <v>48</v>
      </c>
      <c r="D4">
        <v>39.700000000000003</v>
      </c>
      <c r="E4">
        <v>37</v>
      </c>
      <c r="F4">
        <v>31.6</v>
      </c>
    </row>
    <row r="5" spans="1:9" x14ac:dyDescent="0.2">
      <c r="A5" t="s">
        <v>604</v>
      </c>
      <c r="B5">
        <v>41.8</v>
      </c>
      <c r="C5">
        <v>42</v>
      </c>
      <c r="D5">
        <v>39.4</v>
      </c>
      <c r="E5">
        <v>32</v>
      </c>
      <c r="F5">
        <v>28.8</v>
      </c>
    </row>
    <row r="6" spans="1:9" x14ac:dyDescent="0.2">
      <c r="A6" t="s">
        <v>604</v>
      </c>
      <c r="B6">
        <v>38.9</v>
      </c>
      <c r="C6">
        <v>42</v>
      </c>
      <c r="D6">
        <v>28.2</v>
      </c>
      <c r="E6">
        <v>34</v>
      </c>
      <c r="F6">
        <v>41</v>
      </c>
    </row>
    <row r="7" spans="1:9" x14ac:dyDescent="0.2">
      <c r="A7" t="s">
        <v>604</v>
      </c>
      <c r="B7">
        <v>38.9</v>
      </c>
      <c r="C7">
        <v>38</v>
      </c>
      <c r="D7">
        <v>31.8</v>
      </c>
      <c r="E7">
        <v>33</v>
      </c>
      <c r="F7">
        <v>40.700000000000003</v>
      </c>
    </row>
    <row r="8" spans="1:9" x14ac:dyDescent="0.2">
      <c r="A8" t="s">
        <v>50</v>
      </c>
      <c r="B8">
        <v>2.56</v>
      </c>
      <c r="C8">
        <v>1.9</v>
      </c>
      <c r="D8">
        <v>1.6</v>
      </c>
      <c r="E8">
        <v>1.8</v>
      </c>
      <c r="F8">
        <v>1.8</v>
      </c>
      <c r="G8" s="2"/>
    </row>
    <row r="9" spans="1:9" x14ac:dyDescent="0.2">
      <c r="A9" t="s">
        <v>50</v>
      </c>
      <c r="B9">
        <v>2.52</v>
      </c>
      <c r="C9">
        <v>2.2000000000000002</v>
      </c>
      <c r="D9">
        <v>1.41</v>
      </c>
      <c r="E9">
        <v>1.5</v>
      </c>
      <c r="F9">
        <v>1.6</v>
      </c>
      <c r="G9" s="2"/>
    </row>
    <row r="10" spans="1:9" x14ac:dyDescent="0.2">
      <c r="A10" t="s">
        <v>50</v>
      </c>
      <c r="B10">
        <v>2.6</v>
      </c>
      <c r="C10">
        <v>1.7</v>
      </c>
      <c r="D10">
        <v>1.33</v>
      </c>
      <c r="E10">
        <v>1.7</v>
      </c>
      <c r="F10">
        <v>1.5</v>
      </c>
      <c r="G10" s="2"/>
      <c r="I10" s="2"/>
    </row>
    <row r="11" spans="1:9" x14ac:dyDescent="0.2">
      <c r="A11" t="s">
        <v>50</v>
      </c>
      <c r="B11">
        <v>2.5</v>
      </c>
      <c r="C11">
        <v>1.9</v>
      </c>
      <c r="D11">
        <v>1.41</v>
      </c>
      <c r="E11">
        <v>1.5</v>
      </c>
      <c r="F11">
        <v>1.6</v>
      </c>
      <c r="I11" s="4"/>
    </row>
    <row r="12" spans="1:9" x14ac:dyDescent="0.2">
      <c r="A12" t="s">
        <v>50</v>
      </c>
      <c r="B12">
        <v>2.2000000000000002</v>
      </c>
      <c r="C12">
        <v>1.9</v>
      </c>
      <c r="D12">
        <v>1.43</v>
      </c>
      <c r="E12">
        <v>1.4</v>
      </c>
    </row>
    <row r="13" spans="1:9" x14ac:dyDescent="0.2">
      <c r="A13" t="s">
        <v>50</v>
      </c>
      <c r="B13">
        <v>1.99</v>
      </c>
      <c r="D13">
        <v>1.1599999999999999</v>
      </c>
      <c r="E13">
        <v>1.5</v>
      </c>
    </row>
    <row r="14" spans="1:9" x14ac:dyDescent="0.2">
      <c r="A14" t="s">
        <v>606</v>
      </c>
      <c r="B14">
        <v>13.07</v>
      </c>
      <c r="C14">
        <v>10.6</v>
      </c>
      <c r="D14">
        <v>11.4</v>
      </c>
      <c r="E14">
        <v>10.4</v>
      </c>
      <c r="F14">
        <v>12.17</v>
      </c>
    </row>
    <row r="15" spans="1:9" x14ac:dyDescent="0.2">
      <c r="A15" t="s">
        <v>606</v>
      </c>
      <c r="B15">
        <v>13.08</v>
      </c>
      <c r="C15">
        <v>11.1</v>
      </c>
      <c r="D15">
        <v>9</v>
      </c>
      <c r="E15">
        <v>10.5</v>
      </c>
      <c r="F15">
        <v>12.04</v>
      </c>
    </row>
    <row r="16" spans="1:9" x14ac:dyDescent="0.2">
      <c r="A16" t="s">
        <v>606</v>
      </c>
      <c r="B16">
        <v>13.6</v>
      </c>
      <c r="C16">
        <v>9.6</v>
      </c>
      <c r="D16">
        <v>8</v>
      </c>
      <c r="E16">
        <v>9.4</v>
      </c>
      <c r="F16">
        <v>8.31</v>
      </c>
    </row>
    <row r="17" spans="1:9" x14ac:dyDescent="0.2">
      <c r="A17" t="s">
        <v>606</v>
      </c>
      <c r="B17">
        <v>13.85</v>
      </c>
      <c r="C17">
        <v>10.8</v>
      </c>
      <c r="D17">
        <v>8.07</v>
      </c>
      <c r="E17">
        <v>10.3</v>
      </c>
      <c r="F17">
        <v>8.93</v>
      </c>
    </row>
    <row r="18" spans="1:9" x14ac:dyDescent="0.2">
      <c r="A18" t="s">
        <v>606</v>
      </c>
      <c r="B18">
        <v>13.38</v>
      </c>
      <c r="D18">
        <v>12.3</v>
      </c>
    </row>
    <row r="19" spans="1:9" x14ac:dyDescent="0.2">
      <c r="A19" t="s">
        <v>606</v>
      </c>
      <c r="B19">
        <v>13.38</v>
      </c>
      <c r="D19">
        <v>8.4</v>
      </c>
    </row>
    <row r="21" spans="1:9" x14ac:dyDescent="0.2">
      <c r="B21" s="2"/>
      <c r="C21" s="2"/>
      <c r="D21" s="2"/>
      <c r="E21" s="2"/>
      <c r="F21" s="2"/>
    </row>
    <row r="22" spans="1:9" x14ac:dyDescent="0.2">
      <c r="A22" s="2"/>
      <c r="B22" s="2"/>
      <c r="C22" s="2"/>
      <c r="D22" s="2"/>
      <c r="E22" s="2"/>
      <c r="F22" s="2"/>
      <c r="G22" s="2"/>
      <c r="I22" s="3"/>
    </row>
    <row r="23" spans="1:9" x14ac:dyDescent="0.2">
      <c r="A23" s="2"/>
      <c r="G23" s="2"/>
    </row>
    <row r="27" spans="1:9" x14ac:dyDescent="0.2">
      <c r="B27" s="2"/>
      <c r="C27" s="2"/>
      <c r="D27" s="2"/>
      <c r="E27" s="2"/>
      <c r="F27" s="2"/>
    </row>
    <row r="28" spans="1:9" x14ac:dyDescent="0.2">
      <c r="A28" s="2"/>
      <c r="B28" s="2"/>
      <c r="C28" s="2"/>
      <c r="D28" s="2"/>
      <c r="E28" s="2"/>
      <c r="F28" s="2"/>
      <c r="G28" s="2"/>
    </row>
    <row r="29" spans="1:9" x14ac:dyDescent="0.2">
      <c r="A29" s="2"/>
      <c r="B29" s="2"/>
      <c r="C29" s="2"/>
      <c r="D29" s="2"/>
      <c r="E29" s="2"/>
      <c r="F29" s="2"/>
      <c r="G29" s="2"/>
    </row>
    <row r="30" spans="1:9" x14ac:dyDescent="0.2">
      <c r="F30" s="2"/>
      <c r="G30" s="2"/>
    </row>
    <row r="31" spans="1:9" x14ac:dyDescent="0.2">
      <c r="F31" s="2"/>
      <c r="G31" s="2"/>
    </row>
    <row r="32" spans="1:9" x14ac:dyDescent="0.2">
      <c r="F32" s="2"/>
      <c r="G32" s="2"/>
    </row>
    <row r="33" spans="1:7" x14ac:dyDescent="0.2">
      <c r="F33" s="2"/>
      <c r="G33" s="2"/>
    </row>
    <row r="34" spans="1:7" x14ac:dyDescent="0.2">
      <c r="F34" s="2"/>
      <c r="G34" s="2"/>
    </row>
    <row r="35" spans="1:7" x14ac:dyDescent="0.2">
      <c r="F35" s="2"/>
      <c r="G35" s="2"/>
    </row>
    <row r="36" spans="1:7" x14ac:dyDescent="0.2">
      <c r="B36" s="2"/>
      <c r="C36" s="2"/>
      <c r="D36" s="2"/>
      <c r="E36" s="2"/>
      <c r="F36" s="2"/>
      <c r="G36" s="2"/>
    </row>
    <row r="37" spans="1:7" x14ac:dyDescent="0.2">
      <c r="A37" s="2"/>
      <c r="G3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4842-586A-CF47-ACF6-0C556DA5A642}">
  <dimension ref="A1:G11"/>
  <sheetViews>
    <sheetView workbookViewId="0">
      <selection activeCell="E13" sqref="E13"/>
    </sheetView>
  </sheetViews>
  <sheetFormatPr baseColWidth="10" defaultRowHeight="15" x14ac:dyDescent="0.2"/>
  <sheetData>
    <row r="1" spans="1:7" x14ac:dyDescent="0.2">
      <c r="A1" s="13" t="s">
        <v>537</v>
      </c>
      <c r="B1" s="13">
        <v>1988</v>
      </c>
      <c r="C1" s="13">
        <v>1997</v>
      </c>
      <c r="D1" s="13">
        <v>2002</v>
      </c>
      <c r="E1" s="13">
        <v>2009</v>
      </c>
      <c r="F1" s="13">
        <v>2014</v>
      </c>
      <c r="G1" s="13">
        <v>2018</v>
      </c>
    </row>
    <row r="2" spans="1:7" x14ac:dyDescent="0.2">
      <c r="A2" s="13" t="s">
        <v>193</v>
      </c>
      <c r="B2" s="13">
        <v>2.483333</v>
      </c>
      <c r="C2" s="13">
        <v>1.683333</v>
      </c>
      <c r="D2" s="13">
        <v>1.26</v>
      </c>
      <c r="E2" s="13">
        <v>1.4466669999999999</v>
      </c>
      <c r="F2" s="13">
        <v>1.53</v>
      </c>
      <c r="G2" s="13">
        <v>1.675</v>
      </c>
    </row>
    <row r="3" spans="1:7" x14ac:dyDescent="0.2">
      <c r="A3" s="14" t="s">
        <v>601</v>
      </c>
      <c r="B3" s="13">
        <v>2.3366669999999998</v>
      </c>
      <c r="C3" s="13">
        <v>1.933333</v>
      </c>
      <c r="D3" s="13">
        <v>0.93333299999999997</v>
      </c>
      <c r="E3" s="13">
        <v>1.3666670000000001</v>
      </c>
      <c r="F3" s="13">
        <v>1.55</v>
      </c>
      <c r="G3" s="13">
        <v>1.825</v>
      </c>
    </row>
    <row r="4" spans="1:7" x14ac:dyDescent="0.2">
      <c r="A4" s="15" t="s">
        <v>602</v>
      </c>
      <c r="B4" s="13">
        <v>1.933333</v>
      </c>
      <c r="C4" s="13">
        <v>1.79</v>
      </c>
      <c r="D4" s="13">
        <v>0.66</v>
      </c>
      <c r="E4" s="13">
        <v>1.193333</v>
      </c>
      <c r="F4" s="13">
        <v>1.6</v>
      </c>
      <c r="G4" s="13">
        <v>1.825</v>
      </c>
    </row>
    <row r="5" spans="1:7" x14ac:dyDescent="0.2">
      <c r="A5" s="15" t="s">
        <v>603</v>
      </c>
      <c r="B5" s="13">
        <v>1.41</v>
      </c>
      <c r="C5" s="13">
        <v>1.6533329999999999</v>
      </c>
      <c r="D5" s="13">
        <v>0.64349999999999996</v>
      </c>
      <c r="E5" s="13">
        <v>0.94</v>
      </c>
      <c r="F5" s="13">
        <v>1.115</v>
      </c>
      <c r="G5" s="13">
        <v>1.2350000000000001</v>
      </c>
    </row>
    <row r="6" spans="1:7" x14ac:dyDescent="0.2">
      <c r="A6" s="13" t="s">
        <v>277</v>
      </c>
      <c r="B6" s="13">
        <v>0.99</v>
      </c>
      <c r="C6" s="13">
        <v>1.476667</v>
      </c>
      <c r="D6" s="13">
        <v>0.58250000000000002</v>
      </c>
      <c r="E6" s="13">
        <v>0.64500000000000002</v>
      </c>
      <c r="F6" s="13">
        <v>0.79500000000000004</v>
      </c>
      <c r="G6" s="13">
        <v>1.35</v>
      </c>
    </row>
    <row r="7" spans="1:7" x14ac:dyDescent="0.2">
      <c r="A7" s="13" t="s">
        <v>290</v>
      </c>
      <c r="B7" s="13">
        <v>0.67</v>
      </c>
      <c r="C7" s="13">
        <v>0.843333</v>
      </c>
      <c r="D7" s="13">
        <v>0.54</v>
      </c>
      <c r="E7" s="13">
        <v>0.47349999999999998</v>
      </c>
      <c r="F7" s="13">
        <v>0.74</v>
      </c>
      <c r="G7" s="13">
        <v>0.82</v>
      </c>
    </row>
    <row r="8" spans="1:7" x14ac:dyDescent="0.2">
      <c r="A8" s="12"/>
      <c r="B8" s="12"/>
      <c r="C8" s="12"/>
      <c r="D8" s="12"/>
      <c r="E8" s="12"/>
      <c r="F8" s="12"/>
      <c r="G8" s="12"/>
    </row>
    <row r="9" spans="1:7" x14ac:dyDescent="0.2">
      <c r="A9" s="12"/>
      <c r="B9" s="12"/>
      <c r="C9" s="12"/>
      <c r="D9" s="12"/>
      <c r="E9" s="12"/>
      <c r="F9" s="12"/>
      <c r="G9" s="12"/>
    </row>
    <row r="10" spans="1:7" x14ac:dyDescent="0.2">
      <c r="A10" s="13"/>
      <c r="B10" s="13"/>
      <c r="C10" s="13"/>
      <c r="D10" s="13"/>
      <c r="E10" s="13"/>
      <c r="F10" s="13"/>
      <c r="G10" s="13"/>
    </row>
    <row r="11" spans="1:7" x14ac:dyDescent="0.2">
      <c r="A11" s="13"/>
      <c r="B11" s="13"/>
      <c r="C11" s="13"/>
      <c r="D11" s="13"/>
      <c r="E11" s="13"/>
      <c r="F11" s="13"/>
      <c r="G11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CB2A-C953-014F-8048-A5F6D734EEEB}">
  <dimension ref="A1:F22"/>
  <sheetViews>
    <sheetView workbookViewId="0">
      <selection activeCell="F32" sqref="F32"/>
    </sheetView>
  </sheetViews>
  <sheetFormatPr baseColWidth="10" defaultRowHeight="15" x14ac:dyDescent="0.2"/>
  <sheetData>
    <row r="1" spans="1:6" x14ac:dyDescent="0.2">
      <c r="C1" t="s">
        <v>597</v>
      </c>
      <c r="D1" t="s">
        <v>598</v>
      </c>
      <c r="E1" t="s">
        <v>598</v>
      </c>
    </row>
    <row r="2" spans="1:6" x14ac:dyDescent="0.2">
      <c r="A2" t="s">
        <v>599</v>
      </c>
      <c r="B2" t="s">
        <v>600</v>
      </c>
      <c r="C2" t="s">
        <v>596</v>
      </c>
      <c r="D2" t="s">
        <v>591</v>
      </c>
      <c r="E2" t="s">
        <v>593</v>
      </c>
      <c r="F2" t="s">
        <v>594</v>
      </c>
    </row>
    <row r="3" spans="1:6" x14ac:dyDescent="0.2">
      <c r="A3">
        <v>1967</v>
      </c>
      <c r="B3" t="s">
        <v>588</v>
      </c>
      <c r="C3">
        <v>0</v>
      </c>
      <c r="D3">
        <v>0.45</v>
      </c>
      <c r="E3">
        <v>0.32</v>
      </c>
    </row>
    <row r="4" spans="1:6" x14ac:dyDescent="0.2">
      <c r="A4">
        <v>1968</v>
      </c>
      <c r="B4" t="s">
        <v>588</v>
      </c>
    </row>
    <row r="5" spans="1:6" x14ac:dyDescent="0.2">
      <c r="A5">
        <v>1969</v>
      </c>
      <c r="B5" t="s">
        <v>588</v>
      </c>
      <c r="C5">
        <v>0.02</v>
      </c>
      <c r="D5">
        <v>0.16</v>
      </c>
      <c r="E5">
        <v>0.26</v>
      </c>
    </row>
    <row r="6" spans="1:6" x14ac:dyDescent="0.2">
      <c r="A6">
        <v>1970</v>
      </c>
      <c r="B6" t="s">
        <v>588</v>
      </c>
      <c r="C6">
        <v>0.1</v>
      </c>
      <c r="D6">
        <v>0.3</v>
      </c>
      <c r="E6">
        <v>0.26</v>
      </c>
    </row>
    <row r="7" spans="1:6" x14ac:dyDescent="0.2">
      <c r="A7">
        <v>1971</v>
      </c>
      <c r="B7" t="s">
        <v>588</v>
      </c>
      <c r="C7">
        <v>7.0000000000000007E-2</v>
      </c>
      <c r="D7">
        <v>0.9</v>
      </c>
      <c r="E7">
        <v>0.38</v>
      </c>
      <c r="F7">
        <v>41</v>
      </c>
    </row>
    <row r="8" spans="1:6" x14ac:dyDescent="0.2">
      <c r="A8">
        <v>1972</v>
      </c>
      <c r="B8" t="s">
        <v>588</v>
      </c>
      <c r="C8">
        <v>0.22</v>
      </c>
      <c r="D8">
        <v>1</v>
      </c>
      <c r="E8">
        <v>0.11</v>
      </c>
      <c r="F8">
        <v>41</v>
      </c>
    </row>
    <row r="9" spans="1:6" x14ac:dyDescent="0.2">
      <c r="A9">
        <v>1973</v>
      </c>
      <c r="B9" t="s">
        <v>588</v>
      </c>
      <c r="C9">
        <v>0.26</v>
      </c>
      <c r="D9">
        <v>0.8</v>
      </c>
      <c r="E9">
        <v>0.15</v>
      </c>
      <c r="F9">
        <v>53</v>
      </c>
    </row>
    <row r="10" spans="1:6" x14ac:dyDescent="0.2">
      <c r="A10">
        <v>1974</v>
      </c>
      <c r="B10" t="s">
        <v>588</v>
      </c>
      <c r="C10">
        <v>0.4</v>
      </c>
      <c r="D10">
        <v>1.05</v>
      </c>
      <c r="E10">
        <v>0.14000000000000001</v>
      </c>
      <c r="F10">
        <v>76</v>
      </c>
    </row>
    <row r="11" spans="1:6" x14ac:dyDescent="0.2">
      <c r="A11">
        <v>1975</v>
      </c>
      <c r="B11" t="s">
        <v>588</v>
      </c>
      <c r="C11">
        <v>0.35</v>
      </c>
      <c r="D11">
        <v>1.9</v>
      </c>
      <c r="E11">
        <v>0.14000000000000001</v>
      </c>
      <c r="F11">
        <v>78</v>
      </c>
    </row>
    <row r="12" spans="1:6" x14ac:dyDescent="0.2">
      <c r="A12">
        <v>1976</v>
      </c>
      <c r="B12" t="s">
        <v>588</v>
      </c>
      <c r="C12">
        <v>0.37</v>
      </c>
      <c r="D12">
        <v>1.6</v>
      </c>
      <c r="E12">
        <v>0.41</v>
      </c>
      <c r="F12">
        <v>123</v>
      </c>
    </row>
    <row r="13" spans="1:6" x14ac:dyDescent="0.2">
      <c r="A13">
        <v>1967</v>
      </c>
      <c r="B13" t="s">
        <v>589</v>
      </c>
      <c r="C13">
        <v>0</v>
      </c>
      <c r="D13">
        <v>0.28000000000000003</v>
      </c>
      <c r="E13">
        <v>0.15</v>
      </c>
    </row>
    <row r="14" spans="1:6" x14ac:dyDescent="0.2">
      <c r="A14">
        <v>1968</v>
      </c>
      <c r="B14" t="s">
        <v>589</v>
      </c>
      <c r="C14">
        <v>0</v>
      </c>
      <c r="D14">
        <v>0.24</v>
      </c>
      <c r="E14">
        <v>0.1</v>
      </c>
    </row>
    <row r="15" spans="1:6" x14ac:dyDescent="0.2">
      <c r="A15">
        <v>1969</v>
      </c>
      <c r="B15" t="s">
        <v>589</v>
      </c>
      <c r="C15">
        <v>0.03</v>
      </c>
      <c r="D15">
        <v>0.18</v>
      </c>
      <c r="E15">
        <v>0.06</v>
      </c>
    </row>
    <row r="16" spans="1:6" x14ac:dyDescent="0.2">
      <c r="A16">
        <v>1970</v>
      </c>
      <c r="B16" t="s">
        <v>589</v>
      </c>
      <c r="C16">
        <v>0.09</v>
      </c>
      <c r="D16">
        <v>0.31</v>
      </c>
      <c r="E16">
        <v>0.13</v>
      </c>
      <c r="F16">
        <v>54</v>
      </c>
    </row>
    <row r="17" spans="1:6" x14ac:dyDescent="0.2">
      <c r="A17">
        <v>1971</v>
      </c>
      <c r="B17" t="s">
        <v>589</v>
      </c>
      <c r="C17">
        <v>0.17</v>
      </c>
      <c r="D17">
        <v>0.56999999999999995</v>
      </c>
      <c r="E17">
        <v>0.27</v>
      </c>
      <c r="F17">
        <v>62</v>
      </c>
    </row>
    <row r="18" spans="1:6" x14ac:dyDescent="0.2">
      <c r="A18">
        <v>1972</v>
      </c>
      <c r="B18" t="s">
        <v>589</v>
      </c>
      <c r="C18">
        <v>0.18</v>
      </c>
      <c r="D18">
        <v>0.2</v>
      </c>
      <c r="E18">
        <v>0.15</v>
      </c>
      <c r="F18">
        <v>49</v>
      </c>
    </row>
    <row r="19" spans="1:6" x14ac:dyDescent="0.2">
      <c r="A19">
        <v>1973</v>
      </c>
      <c r="B19" t="s">
        <v>589</v>
      </c>
      <c r="C19">
        <v>0.27</v>
      </c>
      <c r="D19">
        <v>0.17</v>
      </c>
      <c r="E19">
        <v>0.13</v>
      </c>
      <c r="F19">
        <v>65</v>
      </c>
    </row>
    <row r="20" spans="1:6" x14ac:dyDescent="0.2">
      <c r="A20">
        <v>1974</v>
      </c>
      <c r="B20" t="s">
        <v>589</v>
      </c>
      <c r="C20">
        <v>0.27</v>
      </c>
      <c r="D20">
        <v>0.3</v>
      </c>
      <c r="E20">
        <v>0.18</v>
      </c>
      <c r="F20">
        <v>89</v>
      </c>
    </row>
    <row r="21" spans="1:6" x14ac:dyDescent="0.2">
      <c r="A21">
        <v>1975</v>
      </c>
      <c r="B21" t="s">
        <v>589</v>
      </c>
      <c r="C21">
        <v>0.28000000000000003</v>
      </c>
      <c r="D21">
        <v>0.39</v>
      </c>
      <c r="E21">
        <v>0.12</v>
      </c>
      <c r="F21">
        <v>78</v>
      </c>
    </row>
    <row r="22" spans="1:6" x14ac:dyDescent="0.2">
      <c r="A22">
        <v>1976</v>
      </c>
      <c r="B22" t="s">
        <v>589</v>
      </c>
      <c r="C22">
        <v>0.41</v>
      </c>
      <c r="D22">
        <v>0.48</v>
      </c>
      <c r="E22">
        <v>0.16</v>
      </c>
      <c r="F2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Fig_new</vt:lpstr>
      <vt:lpstr>Tables</vt:lpstr>
      <vt:lpstr>Fig10</vt:lpstr>
      <vt:lpstr>Figur 9</vt:lpstr>
      <vt:lpstr>Fig4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 Sand-Jensen</dc:creator>
  <cp:lastModifiedBy>Jonas Stage Sø</cp:lastModifiedBy>
  <dcterms:created xsi:type="dcterms:W3CDTF">2024-11-27T14:34:32Z</dcterms:created>
  <dcterms:modified xsi:type="dcterms:W3CDTF">2025-03-05T10:10:06Z</dcterms:modified>
</cp:coreProperties>
</file>