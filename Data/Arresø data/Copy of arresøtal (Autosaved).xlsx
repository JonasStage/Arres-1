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Arresø data/"/>
    </mc:Choice>
  </mc:AlternateContent>
  <xr:revisionPtr revIDLastSave="54" documentId="8_{26FC65AA-BBCA-EB42-988D-92E0EC687050}" xr6:coauthVersionLast="47" xr6:coauthVersionMax="47" xr10:uidLastSave="{073688D3-490E-5B4A-B661-33612EE35D8C}"/>
  <bookViews>
    <workbookView xWindow="5560" yWindow="500" windowWidth="28800" windowHeight="17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2" i="2" l="1"/>
  <c r="AC48" i="2"/>
  <c r="AC47" i="2"/>
  <c r="AC46" i="2"/>
  <c r="AB47" i="2"/>
  <c r="AB46" i="2"/>
  <c r="AA48" i="2"/>
  <c r="AA47" i="2"/>
  <c r="AA46" i="2"/>
  <c r="X48" i="2"/>
  <c r="AH48" i="2" s="1"/>
  <c r="X47" i="2"/>
  <c r="AH47" i="2" s="1"/>
  <c r="X46" i="2"/>
  <c r="AH46" i="2" s="1"/>
  <c r="W48" i="2"/>
  <c r="AG48" i="2" s="1"/>
  <c r="W47" i="2"/>
  <c r="AG47" i="2" s="1"/>
  <c r="W46" i="2"/>
  <c r="AG46" i="2" s="1"/>
  <c r="V48" i="2"/>
  <c r="AF48" i="2" s="1"/>
  <c r="V47" i="2"/>
  <c r="AF47" i="2" s="1"/>
  <c r="V46" i="2"/>
  <c r="AF46" i="2" s="1"/>
  <c r="U48" i="2"/>
  <c r="AE48" i="2" s="1"/>
  <c r="U47" i="2"/>
  <c r="AE47" i="2" s="1"/>
  <c r="U46" i="2"/>
  <c r="AE46" i="2" s="1"/>
  <c r="T48" i="2"/>
  <c r="AD48" i="2" s="1"/>
  <c r="T47" i="2"/>
  <c r="AD47" i="2" s="1"/>
  <c r="T46" i="2"/>
  <c r="AD46" i="2" s="1"/>
  <c r="S48" i="2" l="1"/>
  <c r="S47" i="2"/>
  <c r="S46" i="2"/>
  <c r="R48" i="2"/>
  <c r="R47" i="2"/>
  <c r="R46" i="2"/>
  <c r="Q48" i="2"/>
  <c r="Q47" i="2"/>
  <c r="Q46" i="2"/>
  <c r="D21" i="2"/>
  <c r="D20" i="2"/>
  <c r="C21" i="2"/>
  <c r="C20" i="2"/>
  <c r="C19" i="2"/>
  <c r="D48" i="2"/>
  <c r="D47" i="2"/>
  <c r="C48" i="2"/>
  <c r="C47" i="2"/>
  <c r="C46" i="2"/>
  <c r="E49" i="2"/>
  <c r="E48" i="2"/>
  <c r="E47" i="2"/>
  <c r="E46" i="2"/>
  <c r="E22" i="2"/>
  <c r="E21" i="2"/>
  <c r="E20" i="2"/>
  <c r="E19" i="2"/>
  <c r="D148" i="1" l="1"/>
  <c r="D147" i="1"/>
  <c r="H31" i="1" l="1"/>
  <c r="J31" i="1" l="1"/>
  <c r="G64" i="2" l="1"/>
  <c r="H64" i="2"/>
  <c r="O16" i="2"/>
  <c r="O17" i="2" s="1"/>
  <c r="O15" i="2"/>
  <c r="B64" i="2"/>
  <c r="C64" i="2"/>
  <c r="D64" i="2"/>
  <c r="D46" i="2"/>
  <c r="D19" i="2"/>
  <c r="L34" i="2" l="1"/>
  <c r="K34" i="2"/>
  <c r="M32" i="2"/>
  <c r="M43" i="2"/>
  <c r="M31" i="2"/>
  <c r="K32" i="2"/>
  <c r="K33" i="2"/>
  <c r="M33" i="2" s="1"/>
  <c r="K36" i="2"/>
  <c r="M36" i="2" s="1"/>
  <c r="M39" i="2" s="1"/>
  <c r="K37" i="2"/>
  <c r="M37" i="2" s="1"/>
  <c r="K38" i="2"/>
  <c r="M38" i="2" s="1"/>
  <c r="K41" i="2"/>
  <c r="K44" i="2" s="1"/>
  <c r="K42" i="2"/>
  <c r="K47" i="2" s="1"/>
  <c r="K43" i="2"/>
  <c r="K31" i="2"/>
  <c r="T43" i="2"/>
  <c r="T38" i="2"/>
  <c r="T33" i="2"/>
  <c r="O43" i="2"/>
  <c r="O38" i="2"/>
  <c r="O33" i="2"/>
  <c r="D17" i="2"/>
  <c r="D12" i="2"/>
  <c r="D7" i="2"/>
  <c r="C17" i="2"/>
  <c r="C12" i="2"/>
  <c r="C7" i="2"/>
  <c r="L32" i="2"/>
  <c r="L33" i="2"/>
  <c r="L36" i="2"/>
  <c r="L37" i="2"/>
  <c r="L39" i="2" s="1"/>
  <c r="L38" i="2"/>
  <c r="L41" i="2"/>
  <c r="L44" i="2" s="1"/>
  <c r="L42" i="2"/>
  <c r="L43" i="2"/>
  <c r="L31" i="2"/>
  <c r="F51" i="2"/>
  <c r="D52" i="2"/>
  <c r="F52" i="2" s="1"/>
  <c r="J38" i="2"/>
  <c r="H43" i="2"/>
  <c r="G43" i="2"/>
  <c r="I43" i="2" s="1"/>
  <c r="I42" i="2"/>
  <c r="J42" i="2" s="1"/>
  <c r="I41" i="2"/>
  <c r="J41" i="2" s="1"/>
  <c r="I38" i="2"/>
  <c r="H33" i="2"/>
  <c r="G32" i="2"/>
  <c r="I32" i="2" s="1"/>
  <c r="G33" i="2"/>
  <c r="I33" i="2" s="1"/>
  <c r="G36" i="2"/>
  <c r="H36" i="2" s="1"/>
  <c r="G37" i="2"/>
  <c r="I37" i="2" s="1"/>
  <c r="J37" i="2" s="1"/>
  <c r="G38" i="2"/>
  <c r="H38" i="2" s="1"/>
  <c r="G41" i="2"/>
  <c r="H41" i="2" s="1"/>
  <c r="G42" i="2"/>
  <c r="H42" i="2" s="1"/>
  <c r="G31" i="2"/>
  <c r="I31" i="2" s="1"/>
  <c r="L25" i="2"/>
  <c r="L24" i="2"/>
  <c r="F25" i="2"/>
  <c r="D55" i="2" s="1"/>
  <c r="F24" i="2"/>
  <c r="D54" i="2" s="1"/>
  <c r="I16" i="2"/>
  <c r="J16" i="2" s="1"/>
  <c r="I11" i="2"/>
  <c r="J11" i="2" s="1"/>
  <c r="I10" i="2"/>
  <c r="J10" i="2" s="1"/>
  <c r="I5" i="2"/>
  <c r="I4" i="2"/>
  <c r="I7" i="2" s="1"/>
  <c r="H10" i="2"/>
  <c r="H16" i="2"/>
  <c r="G5" i="2"/>
  <c r="H5" i="2" s="1"/>
  <c r="G6" i="2"/>
  <c r="I6" i="2" s="1"/>
  <c r="G9" i="2"/>
  <c r="H9" i="2" s="1"/>
  <c r="G10" i="2"/>
  <c r="G11" i="2"/>
  <c r="H11" i="2" s="1"/>
  <c r="G14" i="2"/>
  <c r="H14" i="2" s="1"/>
  <c r="G15" i="2"/>
  <c r="H15" i="2" s="1"/>
  <c r="G16" i="2"/>
  <c r="G4" i="2"/>
  <c r="H4" i="2" s="1"/>
  <c r="O4" i="2"/>
  <c r="J43" i="2" l="1"/>
  <c r="I44" i="2"/>
  <c r="I48" i="2"/>
  <c r="J33" i="2"/>
  <c r="J48" i="2" s="1"/>
  <c r="L48" i="2" s="1"/>
  <c r="M47" i="2"/>
  <c r="I47" i="2"/>
  <c r="J32" i="2"/>
  <c r="J47" i="2" s="1"/>
  <c r="L47" i="2" s="1"/>
  <c r="I34" i="2"/>
  <c r="J31" i="2"/>
  <c r="I46" i="2"/>
  <c r="J44" i="2"/>
  <c r="K49" i="2"/>
  <c r="M34" i="2"/>
  <c r="M48" i="2"/>
  <c r="I21" i="2"/>
  <c r="J6" i="2"/>
  <c r="J21" i="2" s="1"/>
  <c r="J5" i="2"/>
  <c r="H32" i="2"/>
  <c r="I9" i="2"/>
  <c r="I19" i="2" s="1"/>
  <c r="K46" i="2"/>
  <c r="I36" i="2"/>
  <c r="M42" i="2"/>
  <c r="M41" i="2"/>
  <c r="M44" i="2" s="1"/>
  <c r="K48" i="2"/>
  <c r="H6" i="2"/>
  <c r="I14" i="2"/>
  <c r="H37" i="2"/>
  <c r="I15" i="2"/>
  <c r="J15" i="2" s="1"/>
  <c r="K39" i="2"/>
  <c r="J4" i="2"/>
  <c r="H31" i="2"/>
  <c r="L20" i="2"/>
  <c r="M5" i="2"/>
  <c r="M20" i="2" s="1"/>
  <c r="M6" i="2"/>
  <c r="M9" i="2"/>
  <c r="M10" i="2"/>
  <c r="M11" i="2"/>
  <c r="M21" i="2" s="1"/>
  <c r="M14" i="2"/>
  <c r="M15" i="2"/>
  <c r="M16" i="2"/>
  <c r="M4" i="2"/>
  <c r="M19" i="2" s="1"/>
  <c r="L5" i="2"/>
  <c r="L6" i="2"/>
  <c r="L9" i="2"/>
  <c r="L10" i="2"/>
  <c r="L11" i="2"/>
  <c r="L21" i="2" s="1"/>
  <c r="L14" i="2"/>
  <c r="L19" i="2" s="1"/>
  <c r="L15" i="2"/>
  <c r="L16" i="2"/>
  <c r="L4" i="2"/>
  <c r="K5" i="2"/>
  <c r="K6" i="2"/>
  <c r="K21" i="2" s="1"/>
  <c r="K9" i="2"/>
  <c r="K10" i="2"/>
  <c r="K11" i="2"/>
  <c r="K14" i="2"/>
  <c r="K19" i="2" s="1"/>
  <c r="K15" i="2"/>
  <c r="K20" i="2" s="1"/>
  <c r="K16" i="2"/>
  <c r="K4" i="2"/>
  <c r="J34" i="2" l="1"/>
  <c r="I17" i="2"/>
  <c r="J14" i="2"/>
  <c r="J17" i="2" s="1"/>
  <c r="I51" i="2"/>
  <c r="F54" i="2" s="1"/>
  <c r="G54" i="2" s="1"/>
  <c r="I49" i="2"/>
  <c r="I20" i="2"/>
  <c r="I22" i="2" s="1"/>
  <c r="J9" i="2"/>
  <c r="J12" i="2" s="1"/>
  <c r="I12" i="2"/>
  <c r="J20" i="2"/>
  <c r="J7" i="2"/>
  <c r="I39" i="2"/>
  <c r="J36" i="2"/>
  <c r="J39" i="2" s="1"/>
  <c r="M46" i="2"/>
  <c r="M49" i="2" s="1"/>
  <c r="H88" i="1"/>
  <c r="I88" i="1"/>
  <c r="J88" i="1"/>
  <c r="K88" i="1"/>
  <c r="L88" i="1"/>
  <c r="M88" i="1"/>
  <c r="Q88" i="1"/>
  <c r="S88" i="1"/>
  <c r="T88" i="1"/>
  <c r="X88" i="1"/>
  <c r="Y88" i="1"/>
  <c r="AB88" i="1"/>
  <c r="AC88" i="1"/>
  <c r="G88" i="1"/>
  <c r="U87" i="1"/>
  <c r="U88" i="1" s="1"/>
  <c r="U86" i="1"/>
  <c r="V87" i="1"/>
  <c r="V88" i="1" s="1"/>
  <c r="V86" i="1"/>
  <c r="W87" i="1"/>
  <c r="W88" i="1" s="1"/>
  <c r="W86" i="1"/>
  <c r="X87" i="1"/>
  <c r="X86" i="1"/>
  <c r="Y87" i="1"/>
  <c r="Y86" i="1"/>
  <c r="Z87" i="1"/>
  <c r="Z86" i="1"/>
  <c r="Z88" i="1" s="1"/>
  <c r="AA87" i="1"/>
  <c r="AA88" i="1" s="1"/>
  <c r="AA86" i="1"/>
  <c r="AB87" i="1"/>
  <c r="AB86" i="1"/>
  <c r="T87" i="1"/>
  <c r="T86" i="1"/>
  <c r="S87" i="1"/>
  <c r="S86" i="1"/>
  <c r="R87" i="1"/>
  <c r="R88" i="1" s="1"/>
  <c r="R86" i="1"/>
  <c r="Q87" i="1"/>
  <c r="Q86" i="1"/>
  <c r="P87" i="1"/>
  <c r="P86" i="1"/>
  <c r="P88" i="1" s="1"/>
  <c r="O87" i="1"/>
  <c r="AF87" i="1" s="1"/>
  <c r="O86" i="1"/>
  <c r="AE86" i="1" s="1"/>
  <c r="J19" i="2" l="1"/>
  <c r="J22" i="2" s="1"/>
  <c r="AE87" i="1"/>
  <c r="J46" i="2"/>
  <c r="AF86" i="1"/>
  <c r="O88" i="1"/>
  <c r="AE88" i="1" s="1"/>
  <c r="E24" i="1"/>
  <c r="E23" i="1"/>
  <c r="E22" i="1"/>
  <c r="E21" i="1"/>
  <c r="E19" i="1"/>
  <c r="E18" i="1"/>
  <c r="E17" i="1"/>
  <c r="E15" i="1"/>
  <c r="E14" i="1"/>
  <c r="L46" i="2" l="1"/>
  <c r="I52" i="2"/>
  <c r="F55" i="2" s="1"/>
  <c r="G55" i="2" s="1"/>
  <c r="J49" i="2"/>
  <c r="L49" i="2" s="1"/>
  <c r="AF88" i="1"/>
</calcChain>
</file>

<file path=xl/sharedStrings.xml><?xml version="1.0" encoding="utf-8"?>
<sst xmlns="http://schemas.openxmlformats.org/spreadsheetml/2006/main" count="447" uniqueCount="186">
  <si>
    <t>Arresø tal</t>
  </si>
  <si>
    <t>Secchi</t>
  </si>
  <si>
    <t>1956-57</t>
  </si>
  <si>
    <t>Middel</t>
  </si>
  <si>
    <t>min</t>
  </si>
  <si>
    <t>max</t>
  </si>
  <si>
    <t>n</t>
  </si>
  <si>
    <t>cm</t>
  </si>
  <si>
    <t>sommer</t>
  </si>
  <si>
    <t>pH</t>
  </si>
  <si>
    <t>Vandplantearte</t>
  </si>
  <si>
    <t>P perfol.</t>
  </si>
  <si>
    <t>P.pect</t>
  </si>
  <si>
    <t>P lucens</t>
  </si>
  <si>
    <t>P gramin</t>
  </si>
  <si>
    <t>P zizzii</t>
  </si>
  <si>
    <t>Myr spic</t>
  </si>
  <si>
    <t>Hel, avivul</t>
  </si>
  <si>
    <t>Chara aspera</t>
  </si>
  <si>
    <t>Chara contraria</t>
  </si>
  <si>
    <t>1973-76</t>
  </si>
  <si>
    <t>x</t>
  </si>
  <si>
    <t>Siden?</t>
  </si>
  <si>
    <t>jan</t>
  </si>
  <si>
    <t>feb</t>
  </si>
  <si>
    <t>mar</t>
  </si>
  <si>
    <t>jun</t>
  </si>
  <si>
    <t>jul</t>
  </si>
  <si>
    <t>aug</t>
  </si>
  <si>
    <t>Måneds</t>
  </si>
  <si>
    <t>sep</t>
  </si>
  <si>
    <t>okt</t>
  </si>
  <si>
    <t>Calcium</t>
  </si>
  <si>
    <t>mM</t>
  </si>
  <si>
    <t>april</t>
  </si>
  <si>
    <t>maj</t>
  </si>
  <si>
    <t>nov</t>
  </si>
  <si>
    <t>dec</t>
  </si>
  <si>
    <t>uorg kulstof</t>
  </si>
  <si>
    <t>måned</t>
  </si>
  <si>
    <t>marts</t>
  </si>
  <si>
    <t>juni</t>
  </si>
  <si>
    <t>juli</t>
  </si>
  <si>
    <t>Ortho-P</t>
  </si>
  <si>
    <t>ug/l</t>
  </si>
  <si>
    <t>Ammonium + Nitrat</t>
  </si>
  <si>
    <t>ug/L</t>
  </si>
  <si>
    <t>Solbjerg Engsø  A: 33 ha, Strødam 18 ha</t>
  </si>
  <si>
    <t>Sum af rensningsanlæ</t>
  </si>
  <si>
    <t>æg</t>
  </si>
  <si>
    <t>TP</t>
  </si>
  <si>
    <t>kg/år</t>
  </si>
  <si>
    <t>TN</t>
  </si>
  <si>
    <t>Regnvandsbetinget tab</t>
  </si>
  <si>
    <t>Diffust bidrag</t>
  </si>
  <si>
    <t xml:space="preserve">TP </t>
  </si>
  <si>
    <t>STRØDAM tilført</t>
  </si>
  <si>
    <t>Vandbalance</t>
  </si>
  <si>
    <t>Til</t>
  </si>
  <si>
    <t>Fra</t>
  </si>
  <si>
    <t>1000 m3/y</t>
  </si>
  <si>
    <t>Målt tilførsel</t>
  </si>
  <si>
    <t>Målt fraførsel</t>
  </si>
  <si>
    <t>Retention</t>
  </si>
  <si>
    <t>Opholdstid</t>
  </si>
  <si>
    <t>dage</t>
  </si>
  <si>
    <t xml:space="preserve">Retention  </t>
  </si>
  <si>
    <t>% af tilførs</t>
  </si>
  <si>
    <t>Strødam retension</t>
  </si>
  <si>
    <t xml:space="preserve">Strødam retention </t>
  </si>
  <si>
    <t>Tilført</t>
  </si>
  <si>
    <t>Solbjerg Engsø</t>
  </si>
  <si>
    <t>g/m2/år</t>
  </si>
  <si>
    <t>Strødam</t>
  </si>
  <si>
    <t>min 2179</t>
  </si>
  <si>
    <t>%</t>
  </si>
  <si>
    <t xml:space="preserve">Tilført </t>
  </si>
  <si>
    <t>Alder</t>
  </si>
  <si>
    <t>g TP/m2/år</t>
  </si>
  <si>
    <t>år</t>
  </si>
  <si>
    <t>Solbjerg ------------------------------------------------------</t>
  </si>
  <si>
    <t>Arresø</t>
  </si>
  <si>
    <t>g TN/m2/ÅR</t>
  </si>
  <si>
    <t>g TN/m2/år</t>
  </si>
  <si>
    <t>Procent retention</t>
  </si>
  <si>
    <t>Gennemsnit</t>
  </si>
  <si>
    <t>SD</t>
  </si>
  <si>
    <t>y</t>
  </si>
  <si>
    <t>Spildevand</t>
  </si>
  <si>
    <t>Tons P/år</t>
  </si>
  <si>
    <t xml:space="preserve">Input </t>
  </si>
  <si>
    <t>Tons N/år</t>
  </si>
  <si>
    <t>Year</t>
  </si>
  <si>
    <t>Arresø sedimenter 1988 - tre stationer kun medtaget 0-10 cm</t>
  </si>
  <si>
    <t>St 1</t>
  </si>
  <si>
    <t>0-2 cm</t>
  </si>
  <si>
    <t>2 til 5 cm</t>
  </si>
  <si>
    <t>5 til 10 cm</t>
  </si>
  <si>
    <t>DW %</t>
  </si>
  <si>
    <t>gløde %</t>
  </si>
  <si>
    <t>mg/g DW</t>
  </si>
  <si>
    <t>mg/gdw</t>
  </si>
  <si>
    <t>mg/cm3</t>
  </si>
  <si>
    <t>mg/cm2</t>
  </si>
  <si>
    <t>0-10 cm</t>
  </si>
  <si>
    <t>st 2</t>
  </si>
  <si>
    <t>st 3</t>
  </si>
  <si>
    <t>Snit 1-3</t>
  </si>
  <si>
    <t>C/N</t>
  </si>
  <si>
    <t>N/P</t>
  </si>
  <si>
    <t>C/P</t>
  </si>
  <si>
    <t xml:space="preserve">TN </t>
  </si>
  <si>
    <t>g/m2</t>
  </si>
  <si>
    <t>tons</t>
  </si>
  <si>
    <t>Arresø sedimenter</t>
  </si>
  <si>
    <t>hele søen</t>
  </si>
  <si>
    <t>40 km2</t>
  </si>
  <si>
    <t>Søen TP</t>
  </si>
  <si>
    <t>tons/søen</t>
  </si>
  <si>
    <t>DW</t>
  </si>
  <si>
    <t>Glødetab</t>
  </si>
  <si>
    <t>Gltab</t>
  </si>
  <si>
    <t>Ændring</t>
  </si>
  <si>
    <t>1988-02</t>
  </si>
  <si>
    <t>0-10cm</t>
  </si>
  <si>
    <t>TABT</t>
  </si>
  <si>
    <t>per år</t>
  </si>
  <si>
    <t>1976; Ebbe Marinus Olesen</t>
  </si>
  <si>
    <t>Søen TN</t>
  </si>
  <si>
    <t xml:space="preserve">79,2 ton </t>
  </si>
  <si>
    <t>697 ton</t>
  </si>
  <si>
    <t>340 ton</t>
  </si>
  <si>
    <t>5248 ton</t>
  </si>
  <si>
    <t>Udvikling</t>
  </si>
  <si>
    <t>79,2 ton P</t>
  </si>
  <si>
    <t>Mean</t>
  </si>
  <si>
    <t>Andersen</t>
  </si>
  <si>
    <t>Ammonium+nitrat</t>
  </si>
  <si>
    <t>Organic P</t>
  </si>
  <si>
    <t>Organic N</t>
  </si>
  <si>
    <t>Sommer</t>
  </si>
  <si>
    <t>mg P/L</t>
  </si>
  <si>
    <t>Mg N/L</t>
  </si>
  <si>
    <t>mg N/L</t>
  </si>
  <si>
    <t>CHl</t>
  </si>
  <si>
    <t>Sommerværdier</t>
  </si>
  <si>
    <t>Org N</t>
  </si>
  <si>
    <t>Org P</t>
  </si>
  <si>
    <t>gennemsnit</t>
  </si>
  <si>
    <t>snit</t>
  </si>
  <si>
    <t>maj-sep</t>
  </si>
  <si>
    <t>mg/L</t>
  </si>
  <si>
    <t>sommer-</t>
  </si>
  <si>
    <t>Total-P</t>
  </si>
  <si>
    <t>Inorg. N</t>
  </si>
  <si>
    <t>Total N</t>
  </si>
  <si>
    <t>Chloroph</t>
  </si>
  <si>
    <t>Summer means</t>
  </si>
  <si>
    <t>30 cm</t>
  </si>
  <si>
    <t>N=1</t>
  </si>
  <si>
    <t>56-57</t>
  </si>
  <si>
    <t>(15-35)</t>
  </si>
  <si>
    <t>N=3</t>
  </si>
  <si>
    <t>(15-38)</t>
  </si>
  <si>
    <t>N=10</t>
  </si>
  <si>
    <t>Hillerød</t>
  </si>
  <si>
    <t>2022-2023</t>
  </si>
  <si>
    <t>Arresøkilder korrigeret for flytning af spilde</t>
  </si>
  <si>
    <t>devand</t>
  </si>
  <si>
    <t>2020ies</t>
  </si>
  <si>
    <t>SNIT</t>
  </si>
  <si>
    <t>Procent tørstof af vådvægt</t>
  </si>
  <si>
    <t>2-5 cm</t>
  </si>
  <si>
    <t>5-10 cm</t>
  </si>
  <si>
    <t>Trocent organisk stof af tørvægten</t>
  </si>
  <si>
    <t>(glødetab) af tørvægten</t>
  </si>
  <si>
    <t>P-indhold mg P/g tørstof</t>
  </si>
  <si>
    <t>C/P forholdet</t>
  </si>
  <si>
    <t>Procent organisk stof af tørvægten</t>
  </si>
  <si>
    <t>name</t>
  </si>
  <si>
    <t>depth</t>
  </si>
  <si>
    <t>Organisk stof tons per sø</t>
  </si>
  <si>
    <t>Organisk kulstof tons per sø</t>
  </si>
  <si>
    <t>Tons P i hele søen</t>
  </si>
  <si>
    <t>Organisk N tons per sø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</si>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</sst>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removal (g/m2/y)</a:t>
            </a:r>
            <a:r>
              <a:rPr lang="en-US" baseline="0"/>
              <a:t> vs lake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Sheet1!$A$93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Sheet1!$B$92:$H$92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</c:numCache>
            </c:numRef>
          </c:xVal>
          <c:yVal>
            <c:numRef>
              <c:f>Sheet1!$B$93:$H$93</c:f>
              <c:numCache>
                <c:formatCode>General</c:formatCode>
                <c:ptCount val="7"/>
                <c:pt idx="0">
                  <c:v>24.2</c:v>
                </c:pt>
                <c:pt idx="1">
                  <c:v>13.91</c:v>
                </c:pt>
                <c:pt idx="2">
                  <c:v>-7.0000000000000007E-2</c:v>
                </c:pt>
                <c:pt idx="3">
                  <c:v>-0.5</c:v>
                </c:pt>
                <c:pt idx="4">
                  <c:v>1.2969999999999999</c:v>
                </c:pt>
                <c:pt idx="5">
                  <c:v>8.7799999999999994</c:v>
                </c:pt>
                <c:pt idx="6">
                  <c:v>11.29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97-4B67-B9EE-6A0B7AFAC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013816"/>
        <c:axId val="353012504"/>
      </c:scatterChart>
      <c:valAx>
        <c:axId val="35301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2504"/>
        <c:crosses val="autoZero"/>
        <c:crossBetween val="midCat"/>
      </c:valAx>
      <c:valAx>
        <c:axId val="35301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3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Arresø</a:t>
            </a:r>
            <a:r>
              <a:rPr lang="en-US" baseline="0"/>
              <a:t> </a:t>
            </a:r>
            <a:r>
              <a:rPr lang="en-US"/>
              <a:t>N input vs N removed (g N/m2/y)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Sheet1!$N$87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Sheet1!$O$86:$AC$86</c:f>
              <c:numCache>
                <c:formatCode>General</c:formatCode>
                <c:ptCount val="15"/>
                <c:pt idx="0">
                  <c:v>8.98</c:v>
                </c:pt>
                <c:pt idx="1">
                  <c:v>10.625</c:v>
                </c:pt>
                <c:pt idx="2">
                  <c:v>14.1</c:v>
                </c:pt>
                <c:pt idx="3">
                  <c:v>11.45</c:v>
                </c:pt>
                <c:pt idx="4">
                  <c:v>10.65</c:v>
                </c:pt>
                <c:pt idx="5">
                  <c:v>12.9</c:v>
                </c:pt>
                <c:pt idx="6">
                  <c:v>9.35</c:v>
                </c:pt>
                <c:pt idx="7">
                  <c:v>4.3250000000000002</c:v>
                </c:pt>
                <c:pt idx="8">
                  <c:v>4.4000000000000004</c:v>
                </c:pt>
                <c:pt idx="9">
                  <c:v>12.125</c:v>
                </c:pt>
                <c:pt idx="10">
                  <c:v>9.0350000000000001</c:v>
                </c:pt>
                <c:pt idx="11">
                  <c:v>7.7675000000000001</c:v>
                </c:pt>
                <c:pt idx="12">
                  <c:v>6.7675000000000001</c:v>
                </c:pt>
                <c:pt idx="13">
                  <c:v>10.025</c:v>
                </c:pt>
                <c:pt idx="14">
                  <c:v>6.125</c:v>
                </c:pt>
              </c:numCache>
            </c:numRef>
          </c:xVal>
          <c:yVal>
            <c:numRef>
              <c:f>Sheet1!$O$87:$AC$87</c:f>
              <c:numCache>
                <c:formatCode>General</c:formatCode>
                <c:ptCount val="15"/>
                <c:pt idx="0">
                  <c:v>6.5250000000000004</c:v>
                </c:pt>
                <c:pt idx="1">
                  <c:v>7.875</c:v>
                </c:pt>
                <c:pt idx="2">
                  <c:v>12.35</c:v>
                </c:pt>
                <c:pt idx="3">
                  <c:v>7.2750000000000004</c:v>
                </c:pt>
                <c:pt idx="4">
                  <c:v>7</c:v>
                </c:pt>
                <c:pt idx="5">
                  <c:v>5.45</c:v>
                </c:pt>
                <c:pt idx="6">
                  <c:v>4.1749999999999998</c:v>
                </c:pt>
                <c:pt idx="7">
                  <c:v>3.8</c:v>
                </c:pt>
                <c:pt idx="8">
                  <c:v>3.2749999999999999</c:v>
                </c:pt>
                <c:pt idx="9">
                  <c:v>7.5750000000000002</c:v>
                </c:pt>
                <c:pt idx="10">
                  <c:v>5.85</c:v>
                </c:pt>
                <c:pt idx="11">
                  <c:v>3.15</c:v>
                </c:pt>
                <c:pt idx="12">
                  <c:v>3.9249999999999998</c:v>
                </c:pt>
                <c:pt idx="13">
                  <c:v>5.6</c:v>
                </c:pt>
                <c:pt idx="14">
                  <c:v>3.0249999999999999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B-4418-9C53-5A106072D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17672"/>
        <c:axId val="462418328"/>
      </c:scatterChart>
      <c:valAx>
        <c:axId val="46241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8328"/>
        <c:crosses val="autoZero"/>
        <c:crossBetween val="midCat"/>
      </c:valAx>
      <c:valAx>
        <c:axId val="46241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Arresø, P retention,</a:t>
            </a:r>
            <a:r>
              <a:rPr lang="en-US" baseline="0"/>
              <a:t> g P/m2/y</a:t>
            </a:r>
            <a:r>
              <a:rPr lang="en-US"/>
              <a:t> vs retention time, years</a:t>
            </a:r>
          </a:p>
        </c:rich>
      </c:tx>
      <c:layout>
        <c:manualLayout>
          <c:xMode val="edge"/>
          <c:yMode val="edge"/>
          <c:x val="0.120062335958005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1146106736655E-2"/>
          <c:y val="0.19721055701370663"/>
          <c:w val="0.8826410761154855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Sheet1!$A$114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Sheet1!$B$113:$Q$113</c:f>
              <c:numCache>
                <c:formatCode>General</c:formatCode>
                <c:ptCount val="16"/>
                <c:pt idx="0">
                  <c:v>3.1</c:v>
                </c:pt>
                <c:pt idx="1">
                  <c:v>2.4390335305719919</c:v>
                </c:pt>
                <c:pt idx="2">
                  <c:v>1.6620833333333334</c:v>
                </c:pt>
                <c:pt idx="3">
                  <c:v>2.5602277432712217</c:v>
                </c:pt>
                <c:pt idx="4">
                  <c:v>2.8104318181818182</c:v>
                </c:pt>
                <c:pt idx="5">
                  <c:v>1.3724639289678138</c:v>
                </c:pt>
                <c:pt idx="6">
                  <c:v>1.5098778998778999</c:v>
                </c:pt>
                <c:pt idx="7">
                  <c:v>3.5739595375722542</c:v>
                </c:pt>
                <c:pt idx="8">
                  <c:v>2.944261904761905</c:v>
                </c:pt>
                <c:pt idx="9">
                  <c:v>1.4565253239104829</c:v>
                </c:pt>
                <c:pt idx="10">
                  <c:v>1.6946553378100591</c:v>
                </c:pt>
                <c:pt idx="11">
                  <c:v>1.7630310806957514</c:v>
                </c:pt>
                <c:pt idx="12">
                  <c:v>2.1283820998278831</c:v>
                </c:pt>
                <c:pt idx="13">
                  <c:v>1.345582154515778</c:v>
                </c:pt>
                <c:pt idx="14">
                  <c:v>1.9083179012345681</c:v>
                </c:pt>
                <c:pt idx="15">
                  <c:v>1.6313852242744065</c:v>
                </c:pt>
              </c:numCache>
            </c:numRef>
          </c:xVal>
          <c:yVal>
            <c:numRef>
              <c:f>Sheet1!$B$114:$Q$114</c:f>
              <c:numCache>
                <c:formatCode>General</c:formatCode>
                <c:ptCount val="16"/>
                <c:pt idx="0">
                  <c:v>0.32750000000000001</c:v>
                </c:pt>
                <c:pt idx="1">
                  <c:v>0.12</c:v>
                </c:pt>
                <c:pt idx="2">
                  <c:v>-3.4999999999999996E-2</c:v>
                </c:pt>
                <c:pt idx="3">
                  <c:v>-0.20499999999999999</c:v>
                </c:pt>
                <c:pt idx="4">
                  <c:v>-0.155</c:v>
                </c:pt>
                <c:pt idx="5">
                  <c:v>-0.50250000000000006</c:v>
                </c:pt>
                <c:pt idx="6">
                  <c:v>-0.36</c:v>
                </c:pt>
                <c:pt idx="7">
                  <c:v>8.7499999999999994E-2</c:v>
                </c:pt>
                <c:pt idx="8">
                  <c:v>2.7500000000000004E-2</c:v>
                </c:pt>
                <c:pt idx="9">
                  <c:v>-6.5000000000000002E-2</c:v>
                </c:pt>
                <c:pt idx="10">
                  <c:v>2.2499999999999999E-2</c:v>
                </c:pt>
                <c:pt idx="11">
                  <c:v>-0.14250000000000002</c:v>
                </c:pt>
                <c:pt idx="12">
                  <c:v>-0.05</c:v>
                </c:pt>
                <c:pt idx="13">
                  <c:v>-0.16750000000000001</c:v>
                </c:pt>
                <c:pt idx="14">
                  <c:v>-0.11750000000000001</c:v>
                </c:pt>
                <c:pt idx="15">
                  <c:v>1.2500000000000001E-2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E-4BC2-918C-48242BCE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72816"/>
        <c:axId val="464472488"/>
      </c:scatterChart>
      <c:valAx>
        <c:axId val="4644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488"/>
        <c:crosses val="autoZero"/>
        <c:crossBetween val="midCat"/>
      </c:valAx>
      <c:valAx>
        <c:axId val="4644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spildevand,</a:t>
            </a:r>
            <a:r>
              <a:rPr lang="en-US" baseline="0"/>
              <a:t> blå, input, gul fra 1989 til 2004, tons/år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692038495188118E-2"/>
          <c:y val="0.20817184310294545"/>
          <c:w val="0.88464129483814524"/>
          <c:h val="0.7075769174686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Sheet1!$E$135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Sheet1!$F$134:$U$134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Sheet1!$F$135:$U$135</c:f>
              <c:numCache>
                <c:formatCode>General</c:formatCode>
                <c:ptCount val="16"/>
                <c:pt idx="0">
                  <c:v>30</c:v>
                </c:pt>
                <c:pt idx="1">
                  <c:v>25.7</c:v>
                </c:pt>
                <c:pt idx="2">
                  <c:v>16.7</c:v>
                </c:pt>
                <c:pt idx="3">
                  <c:v>13.8</c:v>
                </c:pt>
                <c:pt idx="4">
                  <c:v>11.6</c:v>
                </c:pt>
                <c:pt idx="5">
                  <c:v>12.7</c:v>
                </c:pt>
                <c:pt idx="6">
                  <c:v>8.3000000000000007</c:v>
                </c:pt>
                <c:pt idx="7">
                  <c:v>5.5</c:v>
                </c:pt>
                <c:pt idx="8">
                  <c:v>5.7</c:v>
                </c:pt>
                <c:pt idx="9">
                  <c:v>6</c:v>
                </c:pt>
                <c:pt idx="10">
                  <c:v>5.6</c:v>
                </c:pt>
                <c:pt idx="11">
                  <c:v>4.9000000000000004</c:v>
                </c:pt>
                <c:pt idx="12">
                  <c:v>4.3</c:v>
                </c:pt>
                <c:pt idx="13">
                  <c:v>6.6</c:v>
                </c:pt>
                <c:pt idx="14">
                  <c:v>4.5</c:v>
                </c:pt>
                <c:pt idx="1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F-453A-A5FC-558FC364A00F}"/>
            </c:ext>
          </c:extLst>
        </c:ser>
        <c:ser>
          <c:idx val="1"/>
          <c:order val="1"/>
          <c:tx>
            <c:strRef>
              <c:f>Sheet1!$E$136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Sheet1!$F$134:$U$134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Sheet1!$F$136:$U$136</c:f>
              <c:numCache>
                <c:formatCode>General</c:formatCode>
                <c:ptCount val="16"/>
                <c:pt idx="0">
                  <c:v>27.1</c:v>
                </c:pt>
                <c:pt idx="1">
                  <c:v>27.8</c:v>
                </c:pt>
                <c:pt idx="2">
                  <c:v>23.6</c:v>
                </c:pt>
                <c:pt idx="3">
                  <c:v>11.6</c:v>
                </c:pt>
                <c:pt idx="4">
                  <c:v>10.9</c:v>
                </c:pt>
                <c:pt idx="5">
                  <c:v>11.2</c:v>
                </c:pt>
                <c:pt idx="6">
                  <c:v>8.5</c:v>
                </c:pt>
                <c:pt idx="7">
                  <c:v>6.5</c:v>
                </c:pt>
                <c:pt idx="8">
                  <c:v>6.1</c:v>
                </c:pt>
                <c:pt idx="9">
                  <c:v>10.5</c:v>
                </c:pt>
                <c:pt idx="10">
                  <c:v>10</c:v>
                </c:pt>
                <c:pt idx="11">
                  <c:v>8.9</c:v>
                </c:pt>
                <c:pt idx="12">
                  <c:v>6.7</c:v>
                </c:pt>
                <c:pt idx="13">
                  <c:v>12.5</c:v>
                </c:pt>
                <c:pt idx="14">
                  <c:v>8.1</c:v>
                </c:pt>
                <c:pt idx="1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F-453A-A5FC-558FC364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72816"/>
        <c:axId val="464478392"/>
      </c:scatterChart>
      <c:valAx>
        <c:axId val="4644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8392"/>
        <c:crosses val="autoZero"/>
        <c:crossBetween val="midCat"/>
      </c:valAx>
      <c:valAx>
        <c:axId val="46447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Spildevand,</a:t>
            </a:r>
            <a:r>
              <a:rPr lang="en-US" baseline="0"/>
              <a:t> gra, input gul Tons N/år TN </a:t>
            </a:r>
            <a:r>
              <a:rPr lang="en-US"/>
              <a:t>1989-2003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8560185185185185"/>
          <c:w val="0.87753018372703417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Sheet1!$C$157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Sheet1!$D$157:$R$157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2-453C-846B-C1DEC12839CC}"/>
            </c:ext>
          </c:extLst>
        </c:ser>
        <c:ser>
          <c:idx val="1"/>
          <c:order val="1"/>
          <c:tx>
            <c:strRef>
              <c:f>Sheet1!$C$158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Sheet1!$D$158:$R$158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22-453C-846B-C1DEC12839CC}"/>
            </c:ext>
          </c:extLst>
        </c:ser>
        <c:ser>
          <c:idx val="2"/>
          <c:order val="2"/>
          <c:tx>
            <c:strRef>
              <c:f>Sheet1!$C$159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Sheet1!$D$159:$R$159</c:f>
              <c:numCache>
                <c:formatCode>General</c:formatCode>
                <c:ptCount val="15"/>
                <c:pt idx="0">
                  <c:v>168</c:v>
                </c:pt>
                <c:pt idx="1">
                  <c:v>182</c:v>
                </c:pt>
                <c:pt idx="2">
                  <c:v>149</c:v>
                </c:pt>
                <c:pt idx="3">
                  <c:v>131</c:v>
                </c:pt>
                <c:pt idx="4">
                  <c:v>97</c:v>
                </c:pt>
                <c:pt idx="5">
                  <c:v>82.5</c:v>
                </c:pt>
                <c:pt idx="6">
                  <c:v>63.3</c:v>
                </c:pt>
                <c:pt idx="7">
                  <c:v>51.5</c:v>
                </c:pt>
                <c:pt idx="8">
                  <c:v>49.2</c:v>
                </c:pt>
                <c:pt idx="9">
                  <c:v>50.8</c:v>
                </c:pt>
                <c:pt idx="10">
                  <c:v>57.1</c:v>
                </c:pt>
                <c:pt idx="11">
                  <c:v>42.1</c:v>
                </c:pt>
                <c:pt idx="12">
                  <c:v>48.3</c:v>
                </c:pt>
                <c:pt idx="13">
                  <c:v>58.3</c:v>
                </c:pt>
                <c:pt idx="14">
                  <c:v>42.4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22-453C-846B-C1DEC12839CC}"/>
            </c:ext>
          </c:extLst>
        </c:ser>
        <c:ser>
          <c:idx val="3"/>
          <c:order val="3"/>
          <c:tx>
            <c:strRef>
              <c:f>Sheet1!$C$160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Sheet1!$D$156:$R$156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Sheet1!$D$160:$R$160</c:f>
              <c:numCache>
                <c:formatCode>General</c:formatCode>
                <c:ptCount val="15"/>
                <c:pt idx="0">
                  <c:v>359.2</c:v>
                </c:pt>
                <c:pt idx="1">
                  <c:v>425.2</c:v>
                </c:pt>
                <c:pt idx="2">
                  <c:v>564</c:v>
                </c:pt>
                <c:pt idx="3">
                  <c:v>468</c:v>
                </c:pt>
                <c:pt idx="4">
                  <c:v>426</c:v>
                </c:pt>
                <c:pt idx="5">
                  <c:v>516</c:v>
                </c:pt>
                <c:pt idx="6">
                  <c:v>374</c:v>
                </c:pt>
                <c:pt idx="7">
                  <c:v>173</c:v>
                </c:pt>
                <c:pt idx="8">
                  <c:v>176</c:v>
                </c:pt>
                <c:pt idx="9">
                  <c:v>485</c:v>
                </c:pt>
                <c:pt idx="10">
                  <c:v>261</c:v>
                </c:pt>
                <c:pt idx="11">
                  <c:v>311</c:v>
                </c:pt>
                <c:pt idx="12">
                  <c:v>271</c:v>
                </c:pt>
                <c:pt idx="13">
                  <c:v>401</c:v>
                </c:pt>
                <c:pt idx="14">
                  <c:v>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22-453C-846B-C1DEC1283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46280"/>
        <c:axId val="465548576"/>
      </c:scatterChart>
      <c:valAx>
        <c:axId val="4655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8576"/>
        <c:crosses val="autoZero"/>
        <c:crossBetween val="midCat"/>
      </c:valAx>
      <c:valAx>
        <c:axId val="4655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6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93</xdr:row>
      <xdr:rowOff>146050</xdr:rowOff>
    </xdr:from>
    <xdr:to>
      <xdr:col>8</xdr:col>
      <xdr:colOff>66675</xdr:colOff>
      <xdr:row>108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587375</xdr:colOff>
      <xdr:row>88</xdr:row>
      <xdr:rowOff>50800</xdr:rowOff>
    </xdr:from>
    <xdr:to>
      <xdr:col>25</xdr:col>
      <xdr:colOff>206375</xdr:colOff>
      <xdr:row>103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115</xdr:row>
      <xdr:rowOff>57150</xdr:rowOff>
    </xdr:from>
    <xdr:to>
      <xdr:col>8</xdr:col>
      <xdr:colOff>238125</xdr:colOff>
      <xdr:row>130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530225</xdr:colOff>
      <xdr:row>138</xdr:row>
      <xdr:rowOff>120650</xdr:rowOff>
    </xdr:from>
    <xdr:to>
      <xdr:col>15</xdr:col>
      <xdr:colOff>149225</xdr:colOff>
      <xdr:row>153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530225</xdr:colOff>
      <xdr:row>161</xdr:row>
      <xdr:rowOff>38100</xdr:rowOff>
    </xdr:from>
    <xdr:to>
      <xdr:col>12</xdr:col>
      <xdr:colOff>225425</xdr:colOff>
      <xdr:row>176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0"/>
  <sheetViews>
    <sheetView topLeftCell="A109" zoomScale="90" zoomScaleNormal="90" workbookViewId="0">
      <selection activeCell="F149" sqref="F149"/>
    </sheetView>
  </sheetViews>
  <sheetFormatPr baseColWidth="10" defaultColWidth="8.83203125" defaultRowHeight="15" x14ac:dyDescent="0.2"/>
  <cols>
    <col min="14" max="14" width="9.83203125" bestFit="1" customWidth="1"/>
    <col min="19" max="19" width="9.83203125" bestFit="1" customWidth="1"/>
  </cols>
  <sheetData>
    <row r="1" spans="1:25" x14ac:dyDescent="0.2">
      <c r="A1" t="s">
        <v>0</v>
      </c>
      <c r="J1" t="s">
        <v>10</v>
      </c>
      <c r="L1">
        <v>1941</v>
      </c>
      <c r="M1" t="s">
        <v>20</v>
      </c>
      <c r="N1" t="s">
        <v>22</v>
      </c>
    </row>
    <row r="2" spans="1:25" x14ac:dyDescent="0.2">
      <c r="A2" t="s">
        <v>7</v>
      </c>
      <c r="B2" t="s">
        <v>8</v>
      </c>
      <c r="J2" t="s">
        <v>11</v>
      </c>
      <c r="L2" t="s">
        <v>21</v>
      </c>
      <c r="M2" t="s">
        <v>21</v>
      </c>
      <c r="Q2" t="s">
        <v>157</v>
      </c>
      <c r="S2">
        <v>1938</v>
      </c>
      <c r="T2" t="s">
        <v>2</v>
      </c>
      <c r="U2">
        <v>1973</v>
      </c>
      <c r="V2">
        <v>1976</v>
      </c>
    </row>
    <row r="3" spans="1:25" x14ac:dyDescent="0.2">
      <c r="A3" t="s">
        <v>1</v>
      </c>
      <c r="B3">
        <v>1938</v>
      </c>
      <c r="C3" t="s">
        <v>2</v>
      </c>
      <c r="D3">
        <v>1976</v>
      </c>
      <c r="F3" t="s">
        <v>9</v>
      </c>
      <c r="G3">
        <v>1976</v>
      </c>
      <c r="J3" t="s">
        <v>12</v>
      </c>
      <c r="L3" t="s">
        <v>21</v>
      </c>
      <c r="M3" t="s">
        <v>21</v>
      </c>
      <c r="Q3" t="s">
        <v>1</v>
      </c>
      <c r="R3" t="s">
        <v>7</v>
      </c>
      <c r="S3" s="2">
        <v>30</v>
      </c>
      <c r="T3" s="2">
        <v>20</v>
      </c>
      <c r="U3" s="2">
        <v>37</v>
      </c>
      <c r="V3" s="2">
        <v>29.6</v>
      </c>
    </row>
    <row r="4" spans="1:25" x14ac:dyDescent="0.2">
      <c r="A4" t="s">
        <v>3</v>
      </c>
      <c r="B4" s="2">
        <v>30</v>
      </c>
      <c r="C4" s="2">
        <v>20</v>
      </c>
      <c r="D4" s="2">
        <v>29.6</v>
      </c>
      <c r="G4">
        <v>9.65</v>
      </c>
      <c r="J4" t="s">
        <v>13</v>
      </c>
      <c r="L4" t="s">
        <v>21</v>
      </c>
      <c r="Q4" t="s">
        <v>43</v>
      </c>
      <c r="R4" t="s">
        <v>141</v>
      </c>
      <c r="U4" s="2">
        <v>0.128</v>
      </c>
      <c r="V4" s="2">
        <v>0.26500000000000001</v>
      </c>
    </row>
    <row r="5" spans="1:25" x14ac:dyDescent="0.2">
      <c r="A5" t="s">
        <v>4</v>
      </c>
      <c r="C5">
        <v>15</v>
      </c>
      <c r="D5">
        <v>11</v>
      </c>
      <c r="G5">
        <v>9.35</v>
      </c>
      <c r="J5" t="s">
        <v>14</v>
      </c>
      <c r="L5" t="s">
        <v>21</v>
      </c>
      <c r="Q5" t="s">
        <v>153</v>
      </c>
      <c r="R5" t="s">
        <v>141</v>
      </c>
      <c r="U5" s="2">
        <v>0.60299999999999998</v>
      </c>
      <c r="V5" s="2">
        <v>0.73</v>
      </c>
    </row>
    <row r="6" spans="1:25" x14ac:dyDescent="0.2">
      <c r="A6" t="s">
        <v>5</v>
      </c>
      <c r="C6">
        <v>25</v>
      </c>
      <c r="D6">
        <v>38</v>
      </c>
      <c r="G6">
        <v>9.9499999999999993</v>
      </c>
      <c r="J6" t="s">
        <v>15</v>
      </c>
      <c r="L6" t="s">
        <v>21</v>
      </c>
      <c r="Q6" t="s">
        <v>154</v>
      </c>
      <c r="R6" t="s">
        <v>143</v>
      </c>
      <c r="U6" s="2">
        <v>0.18099999999999999</v>
      </c>
      <c r="V6" s="2">
        <v>0.38500000000000001</v>
      </c>
    </row>
    <row r="7" spans="1:25" x14ac:dyDescent="0.2">
      <c r="A7" t="s">
        <v>6</v>
      </c>
      <c r="C7">
        <v>3</v>
      </c>
      <c r="D7">
        <v>10</v>
      </c>
      <c r="G7">
        <v>10</v>
      </c>
      <c r="J7" t="s">
        <v>16</v>
      </c>
      <c r="L7" t="s">
        <v>21</v>
      </c>
      <c r="M7" t="s">
        <v>21</v>
      </c>
      <c r="Q7" t="s">
        <v>155</v>
      </c>
      <c r="R7" t="s">
        <v>143</v>
      </c>
      <c r="U7" s="2">
        <v>4.2210000000000001</v>
      </c>
      <c r="V7" s="2">
        <v>3.8849999999999998</v>
      </c>
    </row>
    <row r="8" spans="1:25" x14ac:dyDescent="0.2">
      <c r="J8" t="s">
        <v>17</v>
      </c>
      <c r="L8" t="s">
        <v>21</v>
      </c>
      <c r="M8" t="s">
        <v>21</v>
      </c>
      <c r="Q8" t="s">
        <v>156</v>
      </c>
      <c r="R8" t="s">
        <v>46</v>
      </c>
      <c r="U8" s="2">
        <v>134</v>
      </c>
      <c r="V8" s="2">
        <v>145</v>
      </c>
    </row>
    <row r="9" spans="1:25" x14ac:dyDescent="0.2">
      <c r="J9" t="s">
        <v>18</v>
      </c>
      <c r="L9" t="s">
        <v>21</v>
      </c>
    </row>
    <row r="10" spans="1:25" x14ac:dyDescent="0.2">
      <c r="J10" t="s">
        <v>19</v>
      </c>
      <c r="L10" t="s">
        <v>21</v>
      </c>
      <c r="S10" t="s">
        <v>145</v>
      </c>
    </row>
    <row r="11" spans="1:25" x14ac:dyDescent="0.2">
      <c r="A11" s="2">
        <v>1976</v>
      </c>
      <c r="B11" s="2" t="s">
        <v>32</v>
      </c>
      <c r="C11" s="2">
        <v>1976</v>
      </c>
      <c r="D11" s="2" t="s">
        <v>38</v>
      </c>
      <c r="E11" s="2"/>
      <c r="F11" s="2"/>
      <c r="G11" s="2">
        <v>1976</v>
      </c>
      <c r="H11" s="2" t="s">
        <v>43</v>
      </c>
      <c r="I11" s="2" t="s">
        <v>45</v>
      </c>
      <c r="J11" s="2"/>
      <c r="K11" s="2" t="s">
        <v>146</v>
      </c>
      <c r="L11" s="2" t="s">
        <v>147</v>
      </c>
      <c r="M11" s="2" t="s">
        <v>52</v>
      </c>
      <c r="N11" s="2" t="s">
        <v>50</v>
      </c>
      <c r="O11" s="2"/>
      <c r="P11" s="2">
        <v>1973</v>
      </c>
      <c r="Q11" t="s">
        <v>43</v>
      </c>
      <c r="R11" t="s">
        <v>137</v>
      </c>
      <c r="T11" t="s">
        <v>138</v>
      </c>
      <c r="U11" t="s">
        <v>139</v>
      </c>
      <c r="V11" t="s">
        <v>50</v>
      </c>
      <c r="W11" t="s">
        <v>52</v>
      </c>
      <c r="X11" t="s">
        <v>144</v>
      </c>
      <c r="Y11" t="s">
        <v>1</v>
      </c>
    </row>
    <row r="12" spans="1:25" x14ac:dyDescent="0.2">
      <c r="A12" t="s">
        <v>29</v>
      </c>
      <c r="B12" t="s">
        <v>33</v>
      </c>
      <c r="D12" t="s">
        <v>33</v>
      </c>
      <c r="E12" t="s">
        <v>33</v>
      </c>
      <c r="G12" t="s">
        <v>39</v>
      </c>
      <c r="H12" t="s">
        <v>44</v>
      </c>
      <c r="J12" t="s">
        <v>46</v>
      </c>
      <c r="K12" t="s">
        <v>8</v>
      </c>
      <c r="M12" t="s">
        <v>152</v>
      </c>
      <c r="N12" t="s">
        <v>8</v>
      </c>
      <c r="P12" t="s">
        <v>136</v>
      </c>
      <c r="Q12" t="s">
        <v>141</v>
      </c>
      <c r="R12" t="s">
        <v>142</v>
      </c>
      <c r="T12" t="s">
        <v>141</v>
      </c>
      <c r="U12" t="s">
        <v>143</v>
      </c>
      <c r="V12" t="s">
        <v>141</v>
      </c>
      <c r="W12" t="s">
        <v>143</v>
      </c>
      <c r="X12" t="s">
        <v>46</v>
      </c>
      <c r="Y12" t="s">
        <v>7</v>
      </c>
    </row>
    <row r="13" spans="1:25" x14ac:dyDescent="0.2">
      <c r="A13" t="s">
        <v>23</v>
      </c>
      <c r="B13">
        <v>1.54</v>
      </c>
      <c r="D13">
        <v>3.22</v>
      </c>
      <c r="E13">
        <v>3.22</v>
      </c>
      <c r="G13" t="s">
        <v>40</v>
      </c>
      <c r="H13">
        <v>360</v>
      </c>
      <c r="J13">
        <v>900</v>
      </c>
      <c r="K13" t="s">
        <v>149</v>
      </c>
      <c r="M13" t="s">
        <v>149</v>
      </c>
      <c r="N13" t="s">
        <v>148</v>
      </c>
      <c r="P13" t="s">
        <v>140</v>
      </c>
      <c r="Q13">
        <v>0.128</v>
      </c>
      <c r="R13">
        <v>0.18099999999999999</v>
      </c>
      <c r="U13">
        <v>4.04</v>
      </c>
      <c r="V13" s="2">
        <v>0.60299999999999998</v>
      </c>
      <c r="W13" s="2">
        <v>4.2210000000000001</v>
      </c>
      <c r="X13">
        <v>134</v>
      </c>
      <c r="Y13" s="2">
        <v>37</v>
      </c>
    </row>
    <row r="14" spans="1:25" x14ac:dyDescent="0.2">
      <c r="A14" t="s">
        <v>24</v>
      </c>
      <c r="B14">
        <v>1.71</v>
      </c>
      <c r="D14">
        <v>3.09</v>
      </c>
      <c r="E14">
        <f>12.6*0.219</f>
        <v>2.7593999999999999</v>
      </c>
      <c r="H14">
        <v>480</v>
      </c>
      <c r="K14" t="s">
        <v>151</v>
      </c>
      <c r="M14" t="s">
        <v>151</v>
      </c>
      <c r="N14" t="s">
        <v>141</v>
      </c>
    </row>
    <row r="15" spans="1:25" x14ac:dyDescent="0.2">
      <c r="A15" t="s">
        <v>25</v>
      </c>
      <c r="B15">
        <v>1.51</v>
      </c>
      <c r="D15">
        <v>3.07</v>
      </c>
      <c r="E15">
        <f>11*0.219</f>
        <v>2.4089999999999998</v>
      </c>
      <c r="G15" t="s">
        <v>34</v>
      </c>
      <c r="H15">
        <v>300</v>
      </c>
      <c r="J15">
        <v>250</v>
      </c>
      <c r="K15">
        <v>3.5</v>
      </c>
      <c r="M15">
        <v>3.8849999999999998</v>
      </c>
      <c r="N15">
        <v>0.73</v>
      </c>
    </row>
    <row r="16" spans="1:25" x14ac:dyDescent="0.2">
      <c r="A16" t="s">
        <v>34</v>
      </c>
      <c r="B16">
        <v>1.51</v>
      </c>
      <c r="D16">
        <v>3.13</v>
      </c>
      <c r="E16">
        <v>2.42</v>
      </c>
      <c r="H16">
        <v>140</v>
      </c>
    </row>
    <row r="17" spans="1:10" x14ac:dyDescent="0.2">
      <c r="A17" t="s">
        <v>35</v>
      </c>
      <c r="B17">
        <v>1</v>
      </c>
      <c r="D17">
        <v>2.2559999999999998</v>
      </c>
      <c r="E17">
        <f>7.1*0.219</f>
        <v>1.5548999999999999</v>
      </c>
      <c r="G17" t="s">
        <v>35</v>
      </c>
      <c r="H17">
        <v>180</v>
      </c>
      <c r="J17">
        <v>750</v>
      </c>
    </row>
    <row r="18" spans="1:10" x14ac:dyDescent="0.2">
      <c r="A18" t="s">
        <v>26</v>
      </c>
      <c r="B18">
        <v>1.175</v>
      </c>
      <c r="D18">
        <v>2.89</v>
      </c>
      <c r="E18">
        <f>12.2*0.219</f>
        <v>2.6717999999999997</v>
      </c>
      <c r="H18">
        <v>100</v>
      </c>
      <c r="J18">
        <v>450</v>
      </c>
    </row>
    <row r="19" spans="1:10" x14ac:dyDescent="0.2">
      <c r="A19" t="s">
        <v>27</v>
      </c>
      <c r="B19">
        <v>1.35</v>
      </c>
      <c r="D19">
        <v>2.91</v>
      </c>
      <c r="E19">
        <f>11.9*0.219</f>
        <v>2.6061000000000001</v>
      </c>
      <c r="H19">
        <v>40</v>
      </c>
      <c r="J19">
        <v>600</v>
      </c>
    </row>
    <row r="20" spans="1:10" x14ac:dyDescent="0.2">
      <c r="A20" t="s">
        <v>28</v>
      </c>
      <c r="B20">
        <v>1.55</v>
      </c>
      <c r="G20" t="s">
        <v>41</v>
      </c>
      <c r="H20">
        <v>100</v>
      </c>
      <c r="J20">
        <v>700</v>
      </c>
    </row>
    <row r="21" spans="1:10" x14ac:dyDescent="0.2">
      <c r="A21" t="s">
        <v>30</v>
      </c>
      <c r="B21">
        <v>1.45</v>
      </c>
      <c r="D21">
        <v>3.1760000000000002</v>
      </c>
      <c r="E21">
        <f>14.5*0.219</f>
        <v>3.1755</v>
      </c>
      <c r="H21">
        <v>140</v>
      </c>
      <c r="J21">
        <v>150</v>
      </c>
    </row>
    <row r="22" spans="1:10" x14ac:dyDescent="0.2">
      <c r="A22" t="s">
        <v>31</v>
      </c>
      <c r="D22">
        <v>3.0659999999999998</v>
      </c>
      <c r="E22">
        <f>14*0.219</f>
        <v>3.0659999999999998</v>
      </c>
      <c r="G22" t="s">
        <v>42</v>
      </c>
      <c r="H22">
        <v>280</v>
      </c>
      <c r="J22">
        <v>200</v>
      </c>
    </row>
    <row r="23" spans="1:10" x14ac:dyDescent="0.2">
      <c r="A23" t="s">
        <v>36</v>
      </c>
      <c r="B23">
        <v>1.5249999999999999</v>
      </c>
      <c r="D23">
        <v>3.1970000000000001</v>
      </c>
      <c r="E23">
        <f>14.6*0.219</f>
        <v>3.1974</v>
      </c>
      <c r="H23">
        <v>300</v>
      </c>
    </row>
    <row r="24" spans="1:10" x14ac:dyDescent="0.2">
      <c r="A24" t="s">
        <v>37</v>
      </c>
      <c r="B24">
        <v>1.45</v>
      </c>
      <c r="D24">
        <v>3</v>
      </c>
      <c r="E24">
        <f>13.7*0.219</f>
        <v>3.0002999999999997</v>
      </c>
      <c r="G24" t="s">
        <v>28</v>
      </c>
      <c r="H24">
        <v>360</v>
      </c>
      <c r="J24">
        <v>100</v>
      </c>
    </row>
    <row r="25" spans="1:10" x14ac:dyDescent="0.2">
      <c r="A25" t="s">
        <v>23</v>
      </c>
      <c r="B25">
        <v>1.65</v>
      </c>
      <c r="H25">
        <v>380</v>
      </c>
      <c r="J25">
        <v>300</v>
      </c>
    </row>
    <row r="26" spans="1:10" x14ac:dyDescent="0.2">
      <c r="G26" t="s">
        <v>30</v>
      </c>
      <c r="H26">
        <v>420</v>
      </c>
      <c r="J26">
        <v>250</v>
      </c>
    </row>
    <row r="27" spans="1:10" x14ac:dyDescent="0.2">
      <c r="H27">
        <v>620</v>
      </c>
      <c r="J27">
        <v>350</v>
      </c>
    </row>
    <row r="28" spans="1:10" x14ac:dyDescent="0.2">
      <c r="G28" t="s">
        <v>31</v>
      </c>
      <c r="H28">
        <v>600</v>
      </c>
      <c r="J28">
        <v>200</v>
      </c>
    </row>
    <row r="29" spans="1:10" x14ac:dyDescent="0.2">
      <c r="G29" t="s">
        <v>36</v>
      </c>
      <c r="H29">
        <v>600</v>
      </c>
      <c r="J29">
        <v>900</v>
      </c>
    </row>
    <row r="30" spans="1:10" x14ac:dyDescent="0.2">
      <c r="G30" t="s">
        <v>37</v>
      </c>
      <c r="H30">
        <v>720</v>
      </c>
      <c r="J30">
        <v>1100</v>
      </c>
    </row>
    <row r="31" spans="1:10" x14ac:dyDescent="0.2">
      <c r="G31" t="s">
        <v>150</v>
      </c>
      <c r="H31">
        <f>AVERAGE(H17:H27)</f>
        <v>265.45454545454544</v>
      </c>
      <c r="J31">
        <f>AVERAGE(J17:J27)</f>
        <v>385</v>
      </c>
    </row>
    <row r="35" spans="1:11" x14ac:dyDescent="0.2">
      <c r="A35" t="s">
        <v>47</v>
      </c>
    </row>
    <row r="36" spans="1:11" x14ac:dyDescent="0.2">
      <c r="G36">
        <v>1994</v>
      </c>
      <c r="H36">
        <v>1995</v>
      </c>
      <c r="I36">
        <v>1996</v>
      </c>
      <c r="J36">
        <v>1997</v>
      </c>
      <c r="K36">
        <v>1998</v>
      </c>
    </row>
    <row r="37" spans="1:11" x14ac:dyDescent="0.2">
      <c r="A37" t="s">
        <v>48</v>
      </c>
      <c r="C37" t="s">
        <v>49</v>
      </c>
      <c r="D37" t="s">
        <v>50</v>
      </c>
      <c r="E37" t="s">
        <v>51</v>
      </c>
      <c r="G37">
        <v>6867</v>
      </c>
      <c r="H37">
        <v>4234</v>
      </c>
      <c r="I37">
        <v>3012</v>
      </c>
      <c r="J37">
        <v>2058</v>
      </c>
      <c r="K37">
        <v>2166</v>
      </c>
    </row>
    <row r="38" spans="1:11" x14ac:dyDescent="0.2">
      <c r="D38" t="s">
        <v>52</v>
      </c>
      <c r="E38" t="s">
        <v>51</v>
      </c>
      <c r="G38">
        <v>59824</v>
      </c>
      <c r="H38">
        <v>48282</v>
      </c>
      <c r="I38">
        <v>42971</v>
      </c>
      <c r="J38">
        <v>41947</v>
      </c>
      <c r="K38">
        <v>37447</v>
      </c>
    </row>
    <row r="40" spans="1:11" x14ac:dyDescent="0.2">
      <c r="A40" t="s">
        <v>53</v>
      </c>
      <c r="D40" t="s">
        <v>50</v>
      </c>
      <c r="G40">
        <v>1708</v>
      </c>
      <c r="H40">
        <v>1618</v>
      </c>
      <c r="I40">
        <v>968</v>
      </c>
      <c r="J40">
        <v>1706</v>
      </c>
      <c r="K40">
        <v>1646</v>
      </c>
    </row>
    <row r="41" spans="1:11" x14ac:dyDescent="0.2">
      <c r="D41" t="s">
        <v>52</v>
      </c>
      <c r="G41">
        <v>6599</v>
      </c>
      <c r="H41">
        <v>6635</v>
      </c>
      <c r="I41">
        <v>3945</v>
      </c>
      <c r="J41">
        <v>6872</v>
      </c>
      <c r="K41">
        <v>6470</v>
      </c>
    </row>
    <row r="43" spans="1:11" x14ac:dyDescent="0.2">
      <c r="A43" t="s">
        <v>54</v>
      </c>
      <c r="D43" t="s">
        <v>50</v>
      </c>
      <c r="G43">
        <v>3493</v>
      </c>
      <c r="H43">
        <v>1880</v>
      </c>
      <c r="I43">
        <v>-1374</v>
      </c>
      <c r="J43">
        <v>-309</v>
      </c>
      <c r="K43">
        <v>557</v>
      </c>
    </row>
    <row r="44" spans="1:11" x14ac:dyDescent="0.2">
      <c r="D44" t="s">
        <v>52</v>
      </c>
      <c r="G44">
        <v>30167</v>
      </c>
      <c r="H44">
        <v>13708</v>
      </c>
      <c r="I44">
        <v>-4261</v>
      </c>
      <c r="J44" t="s">
        <v>74</v>
      </c>
      <c r="K44">
        <v>21774</v>
      </c>
    </row>
    <row r="46" spans="1:11" x14ac:dyDescent="0.2">
      <c r="A46" t="s">
        <v>61</v>
      </c>
      <c r="D46" t="s">
        <v>55</v>
      </c>
      <c r="G46">
        <v>12703</v>
      </c>
      <c r="H46">
        <v>7737</v>
      </c>
      <c r="I46">
        <v>2631</v>
      </c>
      <c r="J46">
        <v>1882</v>
      </c>
      <c r="K46">
        <v>2341</v>
      </c>
    </row>
    <row r="47" spans="1:11" x14ac:dyDescent="0.2">
      <c r="D47" t="s">
        <v>52</v>
      </c>
      <c r="G47">
        <v>97250</v>
      </c>
      <c r="H47">
        <v>69286</v>
      </c>
      <c r="I47">
        <v>43315</v>
      </c>
      <c r="J47">
        <v>32642</v>
      </c>
      <c r="K47">
        <v>55224</v>
      </c>
    </row>
    <row r="49" spans="1:11" x14ac:dyDescent="0.2">
      <c r="A49" t="s">
        <v>56</v>
      </c>
      <c r="D49" t="s">
        <v>50</v>
      </c>
      <c r="J49">
        <v>1580</v>
      </c>
      <c r="K49">
        <v>2033</v>
      </c>
    </row>
    <row r="50" spans="1:11" x14ac:dyDescent="0.2">
      <c r="D50" t="s">
        <v>52</v>
      </c>
      <c r="J50">
        <v>13658</v>
      </c>
      <c r="K50">
        <v>11127</v>
      </c>
    </row>
    <row r="52" spans="1:11" x14ac:dyDescent="0.2">
      <c r="A52" t="s">
        <v>57</v>
      </c>
      <c r="D52" t="s">
        <v>58</v>
      </c>
      <c r="E52" t="s">
        <v>60</v>
      </c>
      <c r="G52">
        <v>17405</v>
      </c>
      <c r="H52">
        <v>13322</v>
      </c>
      <c r="I52">
        <v>7565</v>
      </c>
      <c r="J52">
        <v>8021</v>
      </c>
      <c r="K52">
        <v>16006</v>
      </c>
    </row>
    <row r="53" spans="1:11" x14ac:dyDescent="0.2">
      <c r="D53" t="s">
        <v>59</v>
      </c>
      <c r="G53">
        <v>18270</v>
      </c>
      <c r="H53">
        <v>14871</v>
      </c>
      <c r="I53">
        <v>8894</v>
      </c>
      <c r="J53">
        <v>8908</v>
      </c>
      <c r="K53">
        <v>17711</v>
      </c>
    </row>
    <row r="55" spans="1:11" x14ac:dyDescent="0.2">
      <c r="A55" t="s">
        <v>64</v>
      </c>
      <c r="E55" t="s">
        <v>65</v>
      </c>
      <c r="G55">
        <v>4.6100000000000003</v>
      </c>
      <c r="H55">
        <v>5.67</v>
      </c>
      <c r="I55">
        <v>9.48</v>
      </c>
      <c r="J55">
        <v>9.4600000000000009</v>
      </c>
      <c r="K55">
        <v>4.7</v>
      </c>
    </row>
    <row r="57" spans="1:11" x14ac:dyDescent="0.2">
      <c r="A57" t="s">
        <v>62</v>
      </c>
      <c r="D57" t="s">
        <v>50</v>
      </c>
      <c r="E57" t="s">
        <v>51</v>
      </c>
      <c r="G57">
        <v>3590</v>
      </c>
      <c r="H57">
        <v>3148</v>
      </c>
      <c r="I57">
        <v>2656</v>
      </c>
      <c r="J57">
        <v>1709</v>
      </c>
      <c r="K57">
        <v>1918</v>
      </c>
    </row>
    <row r="58" spans="1:11" x14ac:dyDescent="0.2">
      <c r="D58" t="s">
        <v>52</v>
      </c>
      <c r="G58">
        <v>74500</v>
      </c>
      <c r="H58">
        <v>57173</v>
      </c>
      <c r="I58">
        <v>33396</v>
      </c>
      <c r="J58">
        <v>27637</v>
      </c>
      <c r="K58">
        <v>54081</v>
      </c>
    </row>
    <row r="60" spans="1:11" x14ac:dyDescent="0.2">
      <c r="A60" t="s">
        <v>63</v>
      </c>
      <c r="D60" t="s">
        <v>50</v>
      </c>
      <c r="E60" t="s">
        <v>51</v>
      </c>
      <c r="G60">
        <v>8976</v>
      </c>
      <c r="H60">
        <v>4592</v>
      </c>
      <c r="I60">
        <v>-22</v>
      </c>
      <c r="J60">
        <v>176</v>
      </c>
      <c r="K60">
        <v>428</v>
      </c>
    </row>
    <row r="61" spans="1:11" x14ac:dyDescent="0.2">
      <c r="D61" t="s">
        <v>52</v>
      </c>
      <c r="G61">
        <v>23383</v>
      </c>
      <c r="H61">
        <v>12607</v>
      </c>
      <c r="I61">
        <v>7113</v>
      </c>
      <c r="J61">
        <v>5500</v>
      </c>
      <c r="K61">
        <v>1803</v>
      </c>
    </row>
    <row r="63" spans="1:11" x14ac:dyDescent="0.2">
      <c r="A63" t="s">
        <v>63</v>
      </c>
      <c r="D63" t="s">
        <v>50</v>
      </c>
      <c r="E63" t="s">
        <v>72</v>
      </c>
      <c r="G63">
        <v>24.2</v>
      </c>
      <c r="H63">
        <v>13.91</v>
      </c>
      <c r="I63">
        <v>-7.0000000000000007E-2</v>
      </c>
      <c r="J63">
        <v>0.5</v>
      </c>
      <c r="K63">
        <v>1.2969999999999999</v>
      </c>
    </row>
    <row r="64" spans="1:11" x14ac:dyDescent="0.2">
      <c r="D64" t="s">
        <v>52</v>
      </c>
      <c r="G64">
        <v>70.900000000000006</v>
      </c>
      <c r="H64">
        <v>38.200000000000003</v>
      </c>
      <c r="I64">
        <v>21.5</v>
      </c>
      <c r="J64">
        <v>16.600000000000001</v>
      </c>
      <c r="K64">
        <v>5.46</v>
      </c>
    </row>
    <row r="66" spans="1:32" x14ac:dyDescent="0.2">
      <c r="A66" t="s">
        <v>66</v>
      </c>
      <c r="D66" t="s">
        <v>50</v>
      </c>
      <c r="E66" t="s">
        <v>67</v>
      </c>
      <c r="G66">
        <v>71.400000000000006</v>
      </c>
      <c r="H66">
        <v>59.3</v>
      </c>
      <c r="I66">
        <v>-0.8</v>
      </c>
      <c r="J66">
        <v>9.3000000000000007</v>
      </c>
      <c r="K66">
        <v>18.3</v>
      </c>
    </row>
    <row r="67" spans="1:32" x14ac:dyDescent="0.2">
      <c r="D67" t="s">
        <v>52</v>
      </c>
      <c r="G67">
        <v>23.89</v>
      </c>
      <c r="H67">
        <v>18.100000000000001</v>
      </c>
      <c r="I67">
        <v>16.239999999999998</v>
      </c>
      <c r="J67">
        <v>16.600000000000001</v>
      </c>
      <c r="K67">
        <v>3.2</v>
      </c>
    </row>
    <row r="69" spans="1:32" x14ac:dyDescent="0.2">
      <c r="A69" t="s">
        <v>68</v>
      </c>
      <c r="D69" t="s">
        <v>50</v>
      </c>
      <c r="E69" t="s">
        <v>72</v>
      </c>
      <c r="J69">
        <v>8.7799999999999994</v>
      </c>
      <c r="K69">
        <v>11.29</v>
      </c>
    </row>
    <row r="70" spans="1:32" x14ac:dyDescent="0.2">
      <c r="D70" t="s">
        <v>52</v>
      </c>
      <c r="J70">
        <v>75.88</v>
      </c>
      <c r="K70">
        <v>61.8</v>
      </c>
    </row>
    <row r="72" spans="1:32" x14ac:dyDescent="0.2">
      <c r="A72" t="s">
        <v>69</v>
      </c>
      <c r="D72" t="s">
        <v>50</v>
      </c>
      <c r="E72" t="s">
        <v>75</v>
      </c>
      <c r="J72">
        <v>42</v>
      </c>
      <c r="K72">
        <v>52.8</v>
      </c>
    </row>
    <row r="73" spans="1:32" x14ac:dyDescent="0.2">
      <c r="D73" t="s">
        <v>52</v>
      </c>
      <c r="J73">
        <v>35</v>
      </c>
      <c r="K73">
        <v>25.3</v>
      </c>
    </row>
    <row r="75" spans="1:32" x14ac:dyDescent="0.2">
      <c r="A75" t="s">
        <v>70</v>
      </c>
      <c r="B75" t="s">
        <v>71</v>
      </c>
      <c r="D75" t="s">
        <v>50</v>
      </c>
      <c r="E75" t="s">
        <v>72</v>
      </c>
      <c r="G75">
        <v>36.58</v>
      </c>
      <c r="H75">
        <v>23.44</v>
      </c>
      <c r="I75">
        <v>7.97</v>
      </c>
      <c r="J75">
        <v>5.7</v>
      </c>
      <c r="K75">
        <v>7.09</v>
      </c>
    </row>
    <row r="76" spans="1:32" x14ac:dyDescent="0.2">
      <c r="D76" t="s">
        <v>52</v>
      </c>
      <c r="G76">
        <v>294.7</v>
      </c>
      <c r="H76">
        <v>209.9</v>
      </c>
      <c r="I76">
        <v>130.94999999999999</v>
      </c>
      <c r="J76">
        <v>98.92</v>
      </c>
      <c r="K76">
        <v>167.3</v>
      </c>
    </row>
    <row r="78" spans="1:32" x14ac:dyDescent="0.2">
      <c r="A78" t="s">
        <v>70</v>
      </c>
      <c r="B78" t="s">
        <v>73</v>
      </c>
      <c r="D78" t="s">
        <v>50</v>
      </c>
      <c r="E78" t="s">
        <v>72</v>
      </c>
      <c r="J78">
        <v>20.9</v>
      </c>
      <c r="K78">
        <v>21.4</v>
      </c>
      <c r="O78">
        <v>1889</v>
      </c>
      <c r="P78" t="s">
        <v>81</v>
      </c>
      <c r="Q78">
        <v>1991</v>
      </c>
      <c r="S78">
        <v>1993</v>
      </c>
      <c r="U78">
        <v>1995</v>
      </c>
      <c r="W78">
        <v>1997</v>
      </c>
      <c r="Y78">
        <v>1999</v>
      </c>
      <c r="AA78">
        <v>2001</v>
      </c>
      <c r="AC78">
        <v>2003</v>
      </c>
      <c r="AD78">
        <v>2004</v>
      </c>
      <c r="AE78" t="s">
        <v>85</v>
      </c>
      <c r="AF78" t="s">
        <v>86</v>
      </c>
    </row>
    <row r="79" spans="1:32" x14ac:dyDescent="0.2">
      <c r="D79" t="s">
        <v>52</v>
      </c>
      <c r="J79">
        <v>216.8</v>
      </c>
      <c r="K79">
        <v>244.3</v>
      </c>
      <c r="O79">
        <v>27.1</v>
      </c>
      <c r="P79">
        <v>22.8</v>
      </c>
      <c r="Q79">
        <v>23.6</v>
      </c>
      <c r="R79">
        <v>11.6</v>
      </c>
      <c r="S79">
        <v>10.9</v>
      </c>
      <c r="T79">
        <v>11.2</v>
      </c>
      <c r="U79">
        <v>8.6</v>
      </c>
      <c r="V79">
        <v>6.5</v>
      </c>
      <c r="W79">
        <v>6.1</v>
      </c>
      <c r="X79">
        <v>10.5</v>
      </c>
      <c r="Y79">
        <v>10</v>
      </c>
      <c r="Z79">
        <v>8.9</v>
      </c>
      <c r="AA79">
        <v>6.7</v>
      </c>
      <c r="AB79">
        <v>12.5</v>
      </c>
      <c r="AC79">
        <v>8.1</v>
      </c>
      <c r="AD79">
        <v>10</v>
      </c>
    </row>
    <row r="80" spans="1:32" x14ac:dyDescent="0.2">
      <c r="G80" t="s">
        <v>80</v>
      </c>
      <c r="L80" t="s">
        <v>73</v>
      </c>
      <c r="M80" t="s">
        <v>73</v>
      </c>
    </row>
    <row r="81" spans="1:32" x14ac:dyDescent="0.2">
      <c r="A81" t="s">
        <v>76</v>
      </c>
      <c r="B81" t="s">
        <v>78</v>
      </c>
      <c r="G81">
        <v>36.58</v>
      </c>
      <c r="H81">
        <v>23.44</v>
      </c>
      <c r="I81">
        <v>7.97</v>
      </c>
      <c r="J81">
        <v>5.7</v>
      </c>
      <c r="K81">
        <v>7.09</v>
      </c>
      <c r="L81">
        <v>20.9</v>
      </c>
      <c r="M81">
        <v>21.4</v>
      </c>
      <c r="O81">
        <v>0.67749999999999999</v>
      </c>
      <c r="P81">
        <v>0.57000000000000006</v>
      </c>
      <c r="Q81">
        <v>0.59000000000000008</v>
      </c>
      <c r="R81">
        <v>0.28999999999999998</v>
      </c>
      <c r="S81">
        <v>0.27250000000000002</v>
      </c>
      <c r="T81">
        <v>0.27999999999999997</v>
      </c>
      <c r="U81">
        <v>0.215</v>
      </c>
      <c r="V81">
        <v>0.16250000000000001</v>
      </c>
      <c r="W81">
        <v>0.1525</v>
      </c>
      <c r="X81">
        <v>0.26250000000000001</v>
      </c>
      <c r="Y81">
        <v>0.25</v>
      </c>
      <c r="Z81">
        <v>0.2225</v>
      </c>
      <c r="AA81">
        <v>0.16750000000000001</v>
      </c>
      <c r="AB81">
        <v>0.3125</v>
      </c>
      <c r="AC81">
        <v>0.20249999999999999</v>
      </c>
      <c r="AD81">
        <v>0.25</v>
      </c>
    </row>
    <row r="82" spans="1:32" x14ac:dyDescent="0.2">
      <c r="A82" t="s">
        <v>63</v>
      </c>
      <c r="B82" t="s">
        <v>78</v>
      </c>
      <c r="F82" t="s">
        <v>87</v>
      </c>
      <c r="G82">
        <v>24.2</v>
      </c>
      <c r="H82">
        <v>13.91</v>
      </c>
      <c r="I82">
        <v>-7.0000000000000007E-2</v>
      </c>
      <c r="J82">
        <v>-0.5</v>
      </c>
      <c r="K82">
        <v>1.2969999999999999</v>
      </c>
      <c r="L82">
        <v>8.7799999999999994</v>
      </c>
      <c r="M82">
        <v>11.29</v>
      </c>
      <c r="N82" t="s">
        <v>87</v>
      </c>
      <c r="O82">
        <v>0.32750000000000001</v>
      </c>
      <c r="P82">
        <v>0.12</v>
      </c>
      <c r="Q82">
        <v>-3.4999999999999996E-2</v>
      </c>
      <c r="R82">
        <v>-0.20499999999999999</v>
      </c>
      <c r="S82">
        <v>-0.155</v>
      </c>
      <c r="T82">
        <v>-0.50250000000000006</v>
      </c>
      <c r="U82">
        <v>-0.36</v>
      </c>
      <c r="V82">
        <v>8.7499999999999994E-2</v>
      </c>
      <c r="W82">
        <v>2.7500000000000004E-2</v>
      </c>
      <c r="X82">
        <v>-6.5000000000000002E-2</v>
      </c>
      <c r="Y82">
        <v>2.2499999999999999E-2</v>
      </c>
      <c r="Z82">
        <v>-0.14250000000000002</v>
      </c>
      <c r="AA82">
        <v>-0.05</v>
      </c>
      <c r="AB82">
        <v>-0.16750000000000001</v>
      </c>
      <c r="AC82">
        <v>-0.11750000000000001</v>
      </c>
      <c r="AD82">
        <v>1.2500000000000001E-2</v>
      </c>
    </row>
    <row r="83" spans="1:32" x14ac:dyDescent="0.2">
      <c r="A83" t="s">
        <v>64</v>
      </c>
      <c r="B83" t="s">
        <v>65</v>
      </c>
      <c r="G83">
        <v>4.6100000000000003</v>
      </c>
      <c r="H83">
        <v>5.67</v>
      </c>
      <c r="I83">
        <v>9.48</v>
      </c>
      <c r="J83">
        <v>9.4600000000000009</v>
      </c>
      <c r="K83">
        <v>4.7</v>
      </c>
      <c r="L83">
        <v>8.1999999999999993</v>
      </c>
      <c r="M83">
        <v>4.0999999999999996</v>
      </c>
      <c r="N83" t="s">
        <v>21</v>
      </c>
      <c r="O83">
        <v>3.1</v>
      </c>
      <c r="P83">
        <v>2.4390335305719919</v>
      </c>
      <c r="Q83">
        <v>1.6620833333333334</v>
      </c>
      <c r="R83">
        <v>2.5602277432712217</v>
      </c>
      <c r="S83">
        <v>2.8104318181818182</v>
      </c>
      <c r="T83">
        <v>1.3724639289678138</v>
      </c>
      <c r="U83">
        <v>1.5098778998778999</v>
      </c>
      <c r="V83">
        <v>3.5739595375722542</v>
      </c>
      <c r="W83">
        <v>2.944261904761905</v>
      </c>
      <c r="X83">
        <v>1.4565253239104829</v>
      </c>
      <c r="Y83">
        <v>1.6946553378100591</v>
      </c>
      <c r="Z83">
        <v>1.7630310806957514</v>
      </c>
      <c r="AA83">
        <v>2.1283820998278831</v>
      </c>
      <c r="AB83">
        <v>1.345582154515778</v>
      </c>
      <c r="AC83">
        <v>1.9083179012345681</v>
      </c>
      <c r="AD83">
        <v>1.6313852242744065</v>
      </c>
    </row>
    <row r="84" spans="1:32" x14ac:dyDescent="0.2">
      <c r="A84" t="s">
        <v>77</v>
      </c>
      <c r="B84" t="s">
        <v>79</v>
      </c>
      <c r="F84" t="s">
        <v>21</v>
      </c>
      <c r="G84">
        <v>1</v>
      </c>
      <c r="H84">
        <v>2</v>
      </c>
      <c r="I84">
        <v>3</v>
      </c>
      <c r="J84">
        <v>4</v>
      </c>
      <c r="K84">
        <v>5</v>
      </c>
      <c r="L84">
        <v>1</v>
      </c>
      <c r="M84">
        <v>2</v>
      </c>
      <c r="O84">
        <v>150</v>
      </c>
      <c r="P84">
        <v>150</v>
      </c>
      <c r="Q84">
        <v>150</v>
      </c>
      <c r="R84">
        <v>150</v>
      </c>
      <c r="S84">
        <v>150</v>
      </c>
      <c r="T84">
        <v>150</v>
      </c>
      <c r="U84">
        <v>150</v>
      </c>
      <c r="V84">
        <v>150</v>
      </c>
      <c r="W84">
        <v>150</v>
      </c>
      <c r="X84">
        <v>150</v>
      </c>
      <c r="Y84">
        <v>150</v>
      </c>
      <c r="Z84">
        <v>150</v>
      </c>
      <c r="AA84">
        <v>150</v>
      </c>
      <c r="AB84">
        <v>150</v>
      </c>
      <c r="AC84">
        <v>150</v>
      </c>
      <c r="AD84">
        <v>150</v>
      </c>
    </row>
    <row r="86" spans="1:32" x14ac:dyDescent="0.2">
      <c r="A86" t="s">
        <v>76</v>
      </c>
      <c r="B86" t="s">
        <v>82</v>
      </c>
      <c r="G86">
        <v>294.7</v>
      </c>
      <c r="H86">
        <v>209.9</v>
      </c>
      <c r="I86">
        <v>130.94999999999999</v>
      </c>
      <c r="J86">
        <v>98.92</v>
      </c>
      <c r="K86">
        <v>167.3</v>
      </c>
      <c r="L86">
        <v>216.8</v>
      </c>
      <c r="M86">
        <v>244.3</v>
      </c>
      <c r="N86" t="s">
        <v>21</v>
      </c>
      <c r="O86">
        <f>359.2/40</f>
        <v>8.98</v>
      </c>
      <c r="P86">
        <f>425/40</f>
        <v>10.625</v>
      </c>
      <c r="Q86">
        <f>564/40</f>
        <v>14.1</v>
      </c>
      <c r="R86">
        <f>458/40</f>
        <v>11.45</v>
      </c>
      <c r="S86">
        <f>426/40</f>
        <v>10.65</v>
      </c>
      <c r="T86">
        <f>516/40</f>
        <v>12.9</v>
      </c>
      <c r="U86">
        <f>374/40</f>
        <v>9.35</v>
      </c>
      <c r="V86">
        <f>173/40</f>
        <v>4.3250000000000002</v>
      </c>
      <c r="W86">
        <f>176/40</f>
        <v>4.4000000000000004</v>
      </c>
      <c r="X86">
        <f>485/40</f>
        <v>12.125</v>
      </c>
      <c r="Y86">
        <f>361.4/40</f>
        <v>9.0350000000000001</v>
      </c>
      <c r="Z86">
        <f>310.7/40</f>
        <v>7.7675000000000001</v>
      </c>
      <c r="AA86">
        <f>270.7/40</f>
        <v>6.7675000000000001</v>
      </c>
      <c r="AB86">
        <f>401/40</f>
        <v>10.025</v>
      </c>
      <c r="AC86">
        <v>6.125</v>
      </c>
      <c r="AE86">
        <f>AVERAGE(O86:AD86)</f>
        <v>9.2416666666666671</v>
      </c>
      <c r="AF86">
        <f>STDEV(O86:AC86)</f>
        <v>2.9329936051916703</v>
      </c>
    </row>
    <row r="87" spans="1:32" x14ac:dyDescent="0.2">
      <c r="A87" t="s">
        <v>63</v>
      </c>
      <c r="B87" t="s">
        <v>83</v>
      </c>
      <c r="G87">
        <v>70.900000000000006</v>
      </c>
      <c r="H87">
        <v>38.200000000000003</v>
      </c>
      <c r="I87">
        <v>21.5</v>
      </c>
      <c r="J87">
        <v>16.600000000000001</v>
      </c>
      <c r="K87">
        <v>5.46</v>
      </c>
      <c r="L87">
        <v>75.88</v>
      </c>
      <c r="M87">
        <v>61.8</v>
      </c>
      <c r="N87" t="s">
        <v>87</v>
      </c>
      <c r="O87">
        <f>261/40</f>
        <v>6.5250000000000004</v>
      </c>
      <c r="P87">
        <f>315/40</f>
        <v>7.875</v>
      </c>
      <c r="Q87">
        <f>494/40</f>
        <v>12.35</v>
      </c>
      <c r="R87">
        <f>291/40</f>
        <v>7.2750000000000004</v>
      </c>
      <c r="S87">
        <f>280/40</f>
        <v>7</v>
      </c>
      <c r="T87">
        <f>218/40</f>
        <v>5.45</v>
      </c>
      <c r="U87">
        <f>167/40</f>
        <v>4.1749999999999998</v>
      </c>
      <c r="V87">
        <f>152/40</f>
        <v>3.8</v>
      </c>
      <c r="W87">
        <f>131/40</f>
        <v>3.2749999999999999</v>
      </c>
      <c r="X87">
        <f>303/40</f>
        <v>7.5750000000000002</v>
      </c>
      <c r="Y87">
        <f>234/40</f>
        <v>5.85</v>
      </c>
      <c r="Z87">
        <f>126/40</f>
        <v>3.15</v>
      </c>
      <c r="AA87">
        <f>157/40</f>
        <v>3.9249999999999998</v>
      </c>
      <c r="AB87">
        <f>224/40</f>
        <v>5.6</v>
      </c>
      <c r="AC87">
        <v>3.0249999999999999</v>
      </c>
      <c r="AE87">
        <f>AVERAGE(O87:AD87)</f>
        <v>5.79</v>
      </c>
      <c r="AF87">
        <f>STDEV(O87:AC87)</f>
        <v>2.4773041222840844</v>
      </c>
    </row>
    <row r="88" spans="1:32" x14ac:dyDescent="0.2">
      <c r="A88" t="s">
        <v>84</v>
      </c>
      <c r="G88">
        <f>G87/G86*100</f>
        <v>24.058364438411946</v>
      </c>
      <c r="H88">
        <f t="shared" ref="H88:M88" si="0">H87/H86*100</f>
        <v>18.199142448785135</v>
      </c>
      <c r="I88">
        <f t="shared" si="0"/>
        <v>16.418480336006112</v>
      </c>
      <c r="J88">
        <f t="shared" si="0"/>
        <v>16.781237363526085</v>
      </c>
      <c r="K88">
        <f t="shared" si="0"/>
        <v>3.2635983263598325</v>
      </c>
      <c r="L88">
        <f t="shared" si="0"/>
        <v>35</v>
      </c>
      <c r="M88">
        <f t="shared" si="0"/>
        <v>25.296766270978306</v>
      </c>
      <c r="O88">
        <f t="shared" ref="O88:AC88" si="1">O87/O86*100</f>
        <v>72.661469933184847</v>
      </c>
      <c r="P88">
        <f t="shared" si="1"/>
        <v>74.117647058823536</v>
      </c>
      <c r="Q88">
        <f t="shared" si="1"/>
        <v>87.588652482269509</v>
      </c>
      <c r="R88">
        <f t="shared" si="1"/>
        <v>63.537117903930138</v>
      </c>
      <c r="S88">
        <f t="shared" si="1"/>
        <v>65.727699530516432</v>
      </c>
      <c r="T88">
        <f t="shared" si="1"/>
        <v>42.248062015503876</v>
      </c>
      <c r="U88">
        <f t="shared" si="1"/>
        <v>44.652406417112303</v>
      </c>
      <c r="V88">
        <f t="shared" si="1"/>
        <v>87.861271676300561</v>
      </c>
      <c r="W88">
        <f t="shared" si="1"/>
        <v>74.431818181818173</v>
      </c>
      <c r="X88">
        <f t="shared" si="1"/>
        <v>62.47422680412371</v>
      </c>
      <c r="Y88">
        <f t="shared" si="1"/>
        <v>64.748201438848923</v>
      </c>
      <c r="Z88">
        <f t="shared" si="1"/>
        <v>40.55358867074348</v>
      </c>
      <c r="AA88">
        <f t="shared" si="1"/>
        <v>57.997783524196521</v>
      </c>
      <c r="AB88">
        <f t="shared" si="1"/>
        <v>55.86034912718204</v>
      </c>
      <c r="AC88">
        <f t="shared" si="1"/>
        <v>49.387755102040813</v>
      </c>
      <c r="AE88">
        <f>AVERAGE(O88:AD88)</f>
        <v>62.923203324439662</v>
      </c>
      <c r="AF88">
        <f>STDEV(O88:AC88)</f>
        <v>14.913317926615196</v>
      </c>
    </row>
    <row r="92" spans="1:32" x14ac:dyDescent="0.2">
      <c r="A92" t="s">
        <v>21</v>
      </c>
      <c r="B92">
        <v>1</v>
      </c>
      <c r="C92">
        <v>2</v>
      </c>
      <c r="D92">
        <v>3</v>
      </c>
      <c r="E92">
        <v>4</v>
      </c>
      <c r="F92">
        <v>5</v>
      </c>
      <c r="G92">
        <v>1</v>
      </c>
      <c r="H92">
        <v>2</v>
      </c>
    </row>
    <row r="93" spans="1:32" x14ac:dyDescent="0.2">
      <c r="A93" t="s">
        <v>87</v>
      </c>
      <c r="B93">
        <v>24.2</v>
      </c>
      <c r="C93">
        <v>13.91</v>
      </c>
      <c r="D93">
        <v>-7.0000000000000007E-2</v>
      </c>
      <c r="E93">
        <v>-0.5</v>
      </c>
      <c r="F93">
        <v>1.2969999999999999</v>
      </c>
      <c r="G93">
        <v>8.7799999999999994</v>
      </c>
      <c r="H93">
        <v>11.29</v>
      </c>
    </row>
    <row r="105" spans="25:25" x14ac:dyDescent="0.2">
      <c r="Y105">
        <v>6</v>
      </c>
    </row>
    <row r="113" spans="1:17" x14ac:dyDescent="0.2">
      <c r="A113" t="s">
        <v>21</v>
      </c>
      <c r="B113">
        <v>3.1</v>
      </c>
      <c r="C113">
        <v>2.4390335305719919</v>
      </c>
      <c r="D113">
        <v>1.6620833333333334</v>
      </c>
      <c r="E113">
        <v>2.5602277432712217</v>
      </c>
      <c r="F113">
        <v>2.8104318181818182</v>
      </c>
      <c r="G113">
        <v>1.3724639289678138</v>
      </c>
      <c r="H113">
        <v>1.5098778998778999</v>
      </c>
      <c r="I113">
        <v>3.5739595375722542</v>
      </c>
      <c r="J113">
        <v>2.944261904761905</v>
      </c>
      <c r="K113">
        <v>1.4565253239104829</v>
      </c>
      <c r="L113">
        <v>1.6946553378100591</v>
      </c>
      <c r="M113">
        <v>1.7630310806957514</v>
      </c>
      <c r="N113">
        <v>2.1283820998278831</v>
      </c>
      <c r="O113">
        <v>1.345582154515778</v>
      </c>
      <c r="P113">
        <v>1.9083179012345681</v>
      </c>
      <c r="Q113">
        <v>1.6313852242744065</v>
      </c>
    </row>
    <row r="114" spans="1:17" x14ac:dyDescent="0.2">
      <c r="A114" t="s">
        <v>87</v>
      </c>
      <c r="B114">
        <v>0.32750000000000001</v>
      </c>
      <c r="C114">
        <v>0.12</v>
      </c>
      <c r="D114">
        <v>-3.4999999999999996E-2</v>
      </c>
      <c r="E114">
        <v>-0.20499999999999999</v>
      </c>
      <c r="F114">
        <v>-0.155</v>
      </c>
      <c r="G114">
        <v>-0.50250000000000006</v>
      </c>
      <c r="H114">
        <v>-0.36</v>
      </c>
      <c r="I114">
        <v>8.7499999999999994E-2</v>
      </c>
      <c r="J114">
        <v>2.7500000000000004E-2</v>
      </c>
      <c r="K114">
        <v>-6.5000000000000002E-2</v>
      </c>
      <c r="L114">
        <v>2.2499999999999999E-2</v>
      </c>
      <c r="M114">
        <v>-0.14250000000000002</v>
      </c>
      <c r="N114">
        <v>-0.05</v>
      </c>
      <c r="O114">
        <v>-0.16750000000000001</v>
      </c>
      <c r="P114">
        <v>-0.11750000000000001</v>
      </c>
      <c r="Q114">
        <v>1.2500000000000001E-2</v>
      </c>
    </row>
    <row r="133" spans="1:31" x14ac:dyDescent="0.2">
      <c r="B133" t="s">
        <v>81</v>
      </c>
      <c r="F133">
        <v>1989</v>
      </c>
      <c r="G133">
        <v>2</v>
      </c>
      <c r="U133">
        <v>2004</v>
      </c>
      <c r="W133">
        <v>2015</v>
      </c>
      <c r="X133">
        <v>2016</v>
      </c>
      <c r="Y133">
        <v>2017</v>
      </c>
      <c r="Z133">
        <v>2018</v>
      </c>
      <c r="AA133">
        <v>2019</v>
      </c>
      <c r="AB133">
        <v>2020</v>
      </c>
      <c r="AC133">
        <v>2021</v>
      </c>
      <c r="AD133">
        <v>2022</v>
      </c>
      <c r="AE133">
        <v>2023</v>
      </c>
    </row>
    <row r="134" spans="1:31" x14ac:dyDescent="0.2">
      <c r="B134">
        <v>1976</v>
      </c>
      <c r="D134" t="s">
        <v>92</v>
      </c>
      <c r="E134" t="s">
        <v>21</v>
      </c>
      <c r="F134">
        <v>1</v>
      </c>
      <c r="G134">
        <v>2</v>
      </c>
      <c r="H134">
        <v>3</v>
      </c>
      <c r="I134">
        <v>4</v>
      </c>
      <c r="J134">
        <v>5</v>
      </c>
      <c r="K134">
        <v>6</v>
      </c>
      <c r="L134">
        <v>7</v>
      </c>
      <c r="M134">
        <v>8</v>
      </c>
      <c r="N134">
        <v>9</v>
      </c>
      <c r="O134">
        <v>10</v>
      </c>
      <c r="P134">
        <v>11</v>
      </c>
      <c r="Q134">
        <v>12</v>
      </c>
      <c r="R134">
        <v>13</v>
      </c>
      <c r="S134">
        <v>14</v>
      </c>
      <c r="T134">
        <v>15</v>
      </c>
      <c r="U134">
        <v>16</v>
      </c>
    </row>
    <row r="135" spans="1:31" x14ac:dyDescent="0.2">
      <c r="B135">
        <v>90.4</v>
      </c>
      <c r="C135" t="s">
        <v>88</v>
      </c>
      <c r="D135" t="s">
        <v>89</v>
      </c>
      <c r="E135" t="s">
        <v>87</v>
      </c>
      <c r="F135">
        <v>30</v>
      </c>
      <c r="G135">
        <v>25.7</v>
      </c>
      <c r="H135">
        <v>16.7</v>
      </c>
      <c r="I135">
        <v>13.8</v>
      </c>
      <c r="J135">
        <v>11.6</v>
      </c>
      <c r="K135">
        <v>12.7</v>
      </c>
      <c r="L135">
        <v>8.3000000000000007</v>
      </c>
      <c r="M135">
        <v>5.5</v>
      </c>
      <c r="N135">
        <v>5.7</v>
      </c>
      <c r="O135">
        <v>6</v>
      </c>
      <c r="P135">
        <v>5.6</v>
      </c>
      <c r="Q135">
        <v>4.9000000000000004</v>
      </c>
      <c r="R135">
        <v>4.3</v>
      </c>
      <c r="S135">
        <v>6.6</v>
      </c>
      <c r="T135">
        <v>4.5</v>
      </c>
      <c r="U135">
        <v>4.5</v>
      </c>
      <c r="W135">
        <v>2.2090000000000001</v>
      </c>
      <c r="X135">
        <v>1.865</v>
      </c>
      <c r="Y135">
        <v>1.774</v>
      </c>
      <c r="Z135">
        <v>2.4889999999999999</v>
      </c>
      <c r="AA135">
        <v>5.8849999999999998</v>
      </c>
      <c r="AB135">
        <v>1.4419999999999999</v>
      </c>
      <c r="AC135">
        <v>1.4059999999999999</v>
      </c>
      <c r="AD135">
        <v>1.4410000000000001</v>
      </c>
      <c r="AE135">
        <v>1.4610000000000001</v>
      </c>
    </row>
    <row r="136" spans="1:31" x14ac:dyDescent="0.2">
      <c r="C136" t="s">
        <v>90</v>
      </c>
      <c r="D136" t="s">
        <v>89</v>
      </c>
      <c r="E136" t="s">
        <v>87</v>
      </c>
      <c r="F136">
        <v>27.1</v>
      </c>
      <c r="G136">
        <v>27.8</v>
      </c>
      <c r="H136">
        <v>23.6</v>
      </c>
      <c r="I136">
        <v>11.6</v>
      </c>
      <c r="J136">
        <v>10.9</v>
      </c>
      <c r="K136">
        <v>11.2</v>
      </c>
      <c r="L136">
        <v>8.5</v>
      </c>
      <c r="M136">
        <v>6.5</v>
      </c>
      <c r="N136">
        <v>6.1</v>
      </c>
      <c r="O136">
        <v>10.5</v>
      </c>
      <c r="P136">
        <v>10</v>
      </c>
      <c r="Q136">
        <v>8.9</v>
      </c>
      <c r="R136">
        <v>6.7</v>
      </c>
      <c r="S136">
        <v>12.5</v>
      </c>
      <c r="T136">
        <v>8.1</v>
      </c>
      <c r="U136">
        <v>10</v>
      </c>
    </row>
    <row r="137" spans="1:31" x14ac:dyDescent="0.2">
      <c r="B137">
        <v>263</v>
      </c>
      <c r="C137" t="s">
        <v>88</v>
      </c>
      <c r="D137" t="s">
        <v>91</v>
      </c>
      <c r="F137">
        <v>168</v>
      </c>
      <c r="G137">
        <v>182</v>
      </c>
      <c r="H137">
        <v>149</v>
      </c>
      <c r="I137">
        <v>131</v>
      </c>
      <c r="J137">
        <v>97</v>
      </c>
      <c r="K137">
        <v>82.5</v>
      </c>
      <c r="L137">
        <v>63.3</v>
      </c>
      <c r="M137">
        <v>51.5</v>
      </c>
      <c r="N137">
        <v>49.2</v>
      </c>
      <c r="O137">
        <v>50.8</v>
      </c>
      <c r="P137">
        <v>57.1</v>
      </c>
      <c r="Q137">
        <v>42.1</v>
      </c>
      <c r="R137">
        <v>48.3</v>
      </c>
      <c r="S137">
        <v>58.3</v>
      </c>
      <c r="T137">
        <v>42.4</v>
      </c>
      <c r="Z137">
        <v>47.627000000000002</v>
      </c>
      <c r="AA137">
        <v>36.281999999999996</v>
      </c>
      <c r="AB137">
        <v>27.256</v>
      </c>
      <c r="AC137">
        <v>20.631</v>
      </c>
      <c r="AD137">
        <v>21.111999999999998</v>
      </c>
      <c r="AE137">
        <v>22.780999999999999</v>
      </c>
    </row>
    <row r="138" spans="1:31" x14ac:dyDescent="0.2">
      <c r="C138" t="s">
        <v>90</v>
      </c>
      <c r="D138" t="s">
        <v>91</v>
      </c>
      <c r="F138">
        <v>359.2</v>
      </c>
      <c r="G138">
        <v>425.2</v>
      </c>
      <c r="H138">
        <v>564</v>
      </c>
      <c r="I138">
        <v>468</v>
      </c>
      <c r="J138">
        <v>426</v>
      </c>
      <c r="K138">
        <v>516</v>
      </c>
      <c r="L138">
        <v>374</v>
      </c>
      <c r="M138">
        <v>173</v>
      </c>
      <c r="N138">
        <v>176</v>
      </c>
      <c r="O138">
        <v>485</v>
      </c>
      <c r="P138">
        <v>261</v>
      </c>
      <c r="Q138">
        <v>311</v>
      </c>
      <c r="R138">
        <v>271</v>
      </c>
      <c r="S138">
        <v>401</v>
      </c>
      <c r="T138">
        <v>246</v>
      </c>
    </row>
    <row r="141" spans="1:31" x14ac:dyDescent="0.2">
      <c r="A141" t="s">
        <v>165</v>
      </c>
      <c r="B141">
        <v>1976</v>
      </c>
      <c r="C141" t="s">
        <v>166</v>
      </c>
      <c r="D141" t="s">
        <v>75</v>
      </c>
    </row>
    <row r="142" spans="1:31" x14ac:dyDescent="0.2">
      <c r="A142" t="s">
        <v>50</v>
      </c>
      <c r="B142">
        <v>49.5</v>
      </c>
      <c r="C142">
        <v>1</v>
      </c>
      <c r="D142">
        <v>2</v>
      </c>
    </row>
    <row r="143" spans="1:31" x14ac:dyDescent="0.2">
      <c r="A143" t="s">
        <v>52</v>
      </c>
      <c r="B143">
        <v>140</v>
      </c>
      <c r="C143">
        <v>15</v>
      </c>
      <c r="D143">
        <v>10</v>
      </c>
    </row>
    <row r="145" spans="1:19" x14ac:dyDescent="0.2">
      <c r="A145" t="s">
        <v>167</v>
      </c>
      <c r="E145" t="s">
        <v>168</v>
      </c>
    </row>
    <row r="146" spans="1:19" x14ac:dyDescent="0.2">
      <c r="B146">
        <v>1976</v>
      </c>
      <c r="C146" t="s">
        <v>169</v>
      </c>
      <c r="D146" t="s">
        <v>75</v>
      </c>
    </row>
    <row r="147" spans="1:19" x14ac:dyDescent="0.2">
      <c r="A147" t="s">
        <v>50</v>
      </c>
      <c r="B147">
        <v>85</v>
      </c>
      <c r="C147">
        <v>1.5</v>
      </c>
      <c r="D147">
        <f>C147*100/B147</f>
        <v>1.7647058823529411</v>
      </c>
    </row>
    <row r="148" spans="1:19" x14ac:dyDescent="0.2">
      <c r="A148" t="s">
        <v>52</v>
      </c>
      <c r="B148">
        <v>236</v>
      </c>
      <c r="C148">
        <v>23</v>
      </c>
      <c r="D148">
        <f>C148*100/B148</f>
        <v>9.7457627118644066</v>
      </c>
    </row>
    <row r="155" spans="1:19" x14ac:dyDescent="0.2">
      <c r="D155">
        <v>1989</v>
      </c>
    </row>
    <row r="156" spans="1:19" x14ac:dyDescent="0.2">
      <c r="B156" t="s">
        <v>92</v>
      </c>
      <c r="C156" t="s">
        <v>21</v>
      </c>
      <c r="D156">
        <v>1</v>
      </c>
      <c r="E156">
        <v>2</v>
      </c>
      <c r="F156">
        <v>3</v>
      </c>
      <c r="G156">
        <v>4</v>
      </c>
      <c r="H156">
        <v>5</v>
      </c>
      <c r="I156">
        <v>6</v>
      </c>
      <c r="J156">
        <v>7</v>
      </c>
      <c r="K156">
        <v>8</v>
      </c>
      <c r="L156">
        <v>9</v>
      </c>
      <c r="M156">
        <v>10</v>
      </c>
      <c r="N156">
        <v>11</v>
      </c>
      <c r="O156">
        <v>12</v>
      </c>
      <c r="P156">
        <v>13</v>
      </c>
      <c r="Q156">
        <v>14</v>
      </c>
      <c r="R156">
        <v>15</v>
      </c>
      <c r="S156">
        <v>16</v>
      </c>
    </row>
    <row r="159" spans="1:19" x14ac:dyDescent="0.2">
      <c r="A159" t="s">
        <v>88</v>
      </c>
      <c r="B159" t="s">
        <v>91</v>
      </c>
      <c r="C159" t="s">
        <v>87</v>
      </c>
      <c r="D159">
        <v>168</v>
      </c>
      <c r="E159">
        <v>182</v>
      </c>
      <c r="F159">
        <v>149</v>
      </c>
      <c r="G159">
        <v>131</v>
      </c>
      <c r="H159">
        <v>97</v>
      </c>
      <c r="I159">
        <v>82.5</v>
      </c>
      <c r="J159">
        <v>63.3</v>
      </c>
      <c r="K159">
        <v>51.5</v>
      </c>
      <c r="L159">
        <v>49.2</v>
      </c>
      <c r="M159">
        <v>50.8</v>
      </c>
      <c r="N159">
        <v>57.1</v>
      </c>
      <c r="O159">
        <v>42.1</v>
      </c>
      <c r="P159">
        <v>48.3</v>
      </c>
      <c r="Q159">
        <v>58.3</v>
      </c>
      <c r="R159">
        <v>42.4</v>
      </c>
    </row>
    <row r="160" spans="1:19" x14ac:dyDescent="0.2">
      <c r="A160" t="s">
        <v>90</v>
      </c>
      <c r="B160" t="s">
        <v>91</v>
      </c>
      <c r="C160" t="s">
        <v>87</v>
      </c>
      <c r="D160">
        <v>359.2</v>
      </c>
      <c r="E160">
        <v>425.2</v>
      </c>
      <c r="F160">
        <v>564</v>
      </c>
      <c r="G160">
        <v>468</v>
      </c>
      <c r="H160">
        <v>426</v>
      </c>
      <c r="I160">
        <v>516</v>
      </c>
      <c r="J160">
        <v>374</v>
      </c>
      <c r="K160">
        <v>173</v>
      </c>
      <c r="L160">
        <v>176</v>
      </c>
      <c r="M160">
        <v>485</v>
      </c>
      <c r="N160">
        <v>261</v>
      </c>
      <c r="O160">
        <v>311</v>
      </c>
      <c r="P160">
        <v>271</v>
      </c>
      <c r="Q160">
        <v>401</v>
      </c>
      <c r="R160">
        <v>246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2"/>
  <sheetViews>
    <sheetView topLeftCell="A17" workbookViewId="0">
      <selection activeCell="N46" sqref="N46:N48"/>
    </sheetView>
  </sheetViews>
  <sheetFormatPr baseColWidth="10" defaultColWidth="8.83203125" defaultRowHeight="15" x14ac:dyDescent="0.2"/>
  <sheetData>
    <row r="1" spans="1:15" x14ac:dyDescent="0.2">
      <c r="A1" t="s">
        <v>93</v>
      </c>
    </row>
    <row r="2" spans="1:15" x14ac:dyDescent="0.2">
      <c r="E2" t="s">
        <v>50</v>
      </c>
      <c r="F2" t="s">
        <v>52</v>
      </c>
      <c r="G2" t="s">
        <v>50</v>
      </c>
      <c r="H2" t="s">
        <v>52</v>
      </c>
      <c r="I2" t="s">
        <v>50</v>
      </c>
      <c r="J2" t="s">
        <v>52</v>
      </c>
    </row>
    <row r="3" spans="1:15" x14ac:dyDescent="0.2"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102</v>
      </c>
      <c r="I3" t="s">
        <v>103</v>
      </c>
      <c r="J3" t="s">
        <v>103</v>
      </c>
      <c r="K3" t="s">
        <v>108</v>
      </c>
      <c r="L3" t="s">
        <v>109</v>
      </c>
      <c r="M3" t="s">
        <v>110</v>
      </c>
    </row>
    <row r="4" spans="1:15" x14ac:dyDescent="0.2">
      <c r="A4" t="s">
        <v>94</v>
      </c>
      <c r="B4" t="s">
        <v>95</v>
      </c>
      <c r="C4">
        <v>2.9</v>
      </c>
      <c r="D4">
        <v>44.5</v>
      </c>
      <c r="E4">
        <v>2.56</v>
      </c>
      <c r="F4">
        <v>21.1</v>
      </c>
      <c r="G4">
        <f>1.1*C4*E4/100</f>
        <v>8.1664E-2</v>
      </c>
      <c r="H4">
        <f>G4*F4/E4</f>
        <v>0.67309000000000008</v>
      </c>
      <c r="I4">
        <f>G4*2</f>
        <v>0.163328</v>
      </c>
      <c r="J4">
        <f>I4*F4/E4</f>
        <v>1.3461800000000002</v>
      </c>
      <c r="K4">
        <f>D4*10*0.46/F4</f>
        <v>9.7014218009478679</v>
      </c>
      <c r="L4">
        <f>F4/E4</f>
        <v>8.2421875</v>
      </c>
      <c r="M4">
        <f>D4*10*0.46/E4</f>
        <v>79.9609375</v>
      </c>
      <c r="O4">
        <f>1.1*C4*E4/100</f>
        <v>8.1664E-2</v>
      </c>
    </row>
    <row r="5" spans="1:15" x14ac:dyDescent="0.2">
      <c r="B5" s="1" t="s">
        <v>96</v>
      </c>
      <c r="C5">
        <v>4.2</v>
      </c>
      <c r="D5">
        <v>43.8</v>
      </c>
      <c r="E5">
        <v>2.52</v>
      </c>
      <c r="F5">
        <v>21.4</v>
      </c>
      <c r="G5">
        <f t="shared" ref="G5:G16" si="0">1.1*C5*E5/100</f>
        <v>0.11642400000000003</v>
      </c>
      <c r="H5">
        <f t="shared" ref="H5:H16" si="1">G5*F5/E5</f>
        <v>0.98868000000000011</v>
      </c>
      <c r="I5">
        <f>G5*3</f>
        <v>0.34927200000000008</v>
      </c>
      <c r="J5">
        <f t="shared" ref="J5:J16" si="2">I5*F5/E5</f>
        <v>2.9660400000000005</v>
      </c>
      <c r="K5">
        <f t="shared" ref="K5:K16" si="3">D5*10*0.46/F5</f>
        <v>9.4149532710280397</v>
      </c>
      <c r="L5">
        <f t="shared" ref="L5:L16" si="4">F5/E5</f>
        <v>8.4920634920634921</v>
      </c>
      <c r="M5">
        <f t="shared" ref="M5:M16" si="5">D5*10*0.46/E5</f>
        <v>79.952380952380963</v>
      </c>
    </row>
    <row r="6" spans="1:15" x14ac:dyDescent="0.2">
      <c r="B6" t="s">
        <v>97</v>
      </c>
      <c r="C6">
        <v>4.9000000000000004</v>
      </c>
      <c r="D6">
        <v>43.7</v>
      </c>
      <c r="E6">
        <v>2.33</v>
      </c>
      <c r="F6">
        <v>21.9</v>
      </c>
      <c r="G6">
        <f t="shared" si="0"/>
        <v>0.125587</v>
      </c>
      <c r="H6">
        <f t="shared" si="1"/>
        <v>1.18041</v>
      </c>
      <c r="I6">
        <f>G6*5</f>
        <v>0.62793500000000002</v>
      </c>
      <c r="J6">
        <f t="shared" si="2"/>
        <v>5.90205</v>
      </c>
      <c r="K6">
        <f t="shared" si="3"/>
        <v>9.1789954337899555</v>
      </c>
      <c r="L6">
        <f t="shared" si="4"/>
        <v>9.399141630901287</v>
      </c>
      <c r="M6">
        <f t="shared" si="5"/>
        <v>86.274678111587988</v>
      </c>
    </row>
    <row r="7" spans="1:15" x14ac:dyDescent="0.2">
      <c r="B7" t="s">
        <v>104</v>
      </c>
      <c r="C7">
        <f>(C4*2+C5*3+C6*5)/10</f>
        <v>4.2900000000000009</v>
      </c>
      <c r="D7">
        <f>AVERAGE(D4:D6)</f>
        <v>44</v>
      </c>
      <c r="I7">
        <f>SUM(I4:I6)</f>
        <v>1.1405350000000001</v>
      </c>
      <c r="J7">
        <f>SUM(J4:J6)</f>
        <v>10.214270000000001</v>
      </c>
    </row>
    <row r="9" spans="1:15" x14ac:dyDescent="0.2">
      <c r="A9" t="s">
        <v>105</v>
      </c>
      <c r="B9" t="s">
        <v>95</v>
      </c>
      <c r="C9">
        <v>3.1</v>
      </c>
      <c r="D9">
        <v>43.4</v>
      </c>
      <c r="E9">
        <v>2.6</v>
      </c>
      <c r="F9">
        <v>18.5</v>
      </c>
      <c r="G9">
        <f t="shared" si="0"/>
        <v>8.8660000000000017E-2</v>
      </c>
      <c r="H9">
        <f t="shared" si="1"/>
        <v>0.63085000000000013</v>
      </c>
      <c r="I9">
        <f>G9*2</f>
        <v>0.17732000000000003</v>
      </c>
      <c r="J9">
        <f t="shared" si="2"/>
        <v>1.2617000000000003</v>
      </c>
      <c r="K9">
        <f t="shared" si="3"/>
        <v>10.791351351351352</v>
      </c>
      <c r="L9">
        <f t="shared" si="4"/>
        <v>7.115384615384615</v>
      </c>
      <c r="M9">
        <f t="shared" si="5"/>
        <v>76.784615384615392</v>
      </c>
    </row>
    <row r="10" spans="1:15" x14ac:dyDescent="0.2">
      <c r="B10" s="1" t="s">
        <v>96</v>
      </c>
      <c r="C10">
        <v>4.5</v>
      </c>
      <c r="D10">
        <v>41.8</v>
      </c>
      <c r="E10">
        <v>2.5</v>
      </c>
      <c r="F10">
        <v>19</v>
      </c>
      <c r="G10">
        <f t="shared" si="0"/>
        <v>0.12375</v>
      </c>
      <c r="H10">
        <f t="shared" si="1"/>
        <v>0.94049999999999989</v>
      </c>
      <c r="I10">
        <f>G10*3</f>
        <v>0.37124999999999997</v>
      </c>
      <c r="J10">
        <f t="shared" si="2"/>
        <v>2.8214999999999995</v>
      </c>
      <c r="K10">
        <f t="shared" si="3"/>
        <v>10.119999999999999</v>
      </c>
      <c r="L10">
        <f t="shared" si="4"/>
        <v>7.6</v>
      </c>
      <c r="M10">
        <f t="shared" si="5"/>
        <v>76.912000000000006</v>
      </c>
    </row>
    <row r="11" spans="1:15" x14ac:dyDescent="0.2">
      <c r="B11" t="s">
        <v>97</v>
      </c>
      <c r="C11">
        <v>5.6</v>
      </c>
      <c r="D11">
        <v>38.700000000000003</v>
      </c>
      <c r="E11">
        <v>2.15</v>
      </c>
      <c r="F11">
        <v>17.5</v>
      </c>
      <c r="G11">
        <f t="shared" si="0"/>
        <v>0.13244</v>
      </c>
      <c r="H11">
        <f t="shared" si="1"/>
        <v>1.0780000000000001</v>
      </c>
      <c r="I11">
        <f>G11*5</f>
        <v>0.66220000000000001</v>
      </c>
      <c r="J11">
        <f t="shared" si="2"/>
        <v>5.3900000000000006</v>
      </c>
      <c r="K11">
        <f t="shared" si="3"/>
        <v>10.172571428571429</v>
      </c>
      <c r="L11">
        <f t="shared" si="4"/>
        <v>8.1395348837209305</v>
      </c>
      <c r="M11">
        <f t="shared" si="5"/>
        <v>82.800000000000011</v>
      </c>
    </row>
    <row r="12" spans="1:15" x14ac:dyDescent="0.2">
      <c r="B12" t="s">
        <v>104</v>
      </c>
      <c r="C12">
        <f>(C9*2+C10*3+C11*5)/10</f>
        <v>4.7700000000000005</v>
      </c>
      <c r="D12">
        <f>AVERAGE(D9:D11)</f>
        <v>41.3</v>
      </c>
      <c r="I12">
        <f>SUM(I9:I11)</f>
        <v>1.2107700000000001</v>
      </c>
      <c r="J12">
        <f>SUM(J9:J11)</f>
        <v>9.4732000000000003</v>
      </c>
      <c r="O12">
        <v>1.1399999999999999</v>
      </c>
    </row>
    <row r="13" spans="1:15" x14ac:dyDescent="0.2">
      <c r="O13">
        <v>1.21</v>
      </c>
    </row>
    <row r="14" spans="1:15" x14ac:dyDescent="0.2">
      <c r="A14" t="s">
        <v>106</v>
      </c>
      <c r="B14" t="s">
        <v>95</v>
      </c>
      <c r="C14">
        <v>3.6</v>
      </c>
      <c r="D14">
        <v>38.9</v>
      </c>
      <c r="E14">
        <v>2.29</v>
      </c>
      <c r="F14">
        <v>18.600000000000001</v>
      </c>
      <c r="G14">
        <f t="shared" si="0"/>
        <v>9.0684000000000001E-2</v>
      </c>
      <c r="H14">
        <f t="shared" si="1"/>
        <v>0.73655999999999999</v>
      </c>
      <c r="I14">
        <f>G14*2</f>
        <v>0.181368</v>
      </c>
      <c r="J14">
        <f t="shared" si="2"/>
        <v>1.47312</v>
      </c>
      <c r="K14">
        <f t="shared" si="3"/>
        <v>9.6204301075268805</v>
      </c>
      <c r="L14">
        <f t="shared" si="4"/>
        <v>8.1222707423580793</v>
      </c>
      <c r="M14">
        <f t="shared" si="5"/>
        <v>78.139737991266372</v>
      </c>
      <c r="O14">
        <v>1.343</v>
      </c>
    </row>
    <row r="15" spans="1:15" x14ac:dyDescent="0.2">
      <c r="B15" s="1" t="s">
        <v>96</v>
      </c>
      <c r="C15">
        <v>6.3</v>
      </c>
      <c r="D15">
        <v>33.9</v>
      </c>
      <c r="E15">
        <v>1.99</v>
      </c>
      <c r="F15">
        <v>16.600000000000001</v>
      </c>
      <c r="G15">
        <f t="shared" si="0"/>
        <v>0.137907</v>
      </c>
      <c r="H15">
        <f t="shared" si="1"/>
        <v>1.15038</v>
      </c>
      <c r="I15">
        <f>G15*3</f>
        <v>0.41372100000000001</v>
      </c>
      <c r="J15">
        <f t="shared" si="2"/>
        <v>3.4511400000000005</v>
      </c>
      <c r="K15">
        <f t="shared" si="3"/>
        <v>9.3939759036144572</v>
      </c>
      <c r="L15">
        <f t="shared" si="4"/>
        <v>8.3417085427135689</v>
      </c>
      <c r="M15">
        <f t="shared" si="5"/>
        <v>78.361809045226124</v>
      </c>
      <c r="O15">
        <f>AVERAGE(O12:O14)</f>
        <v>1.2309999999999999</v>
      </c>
    </row>
    <row r="16" spans="1:15" x14ac:dyDescent="0.2">
      <c r="B16" t="s">
        <v>97</v>
      </c>
      <c r="C16">
        <v>10.3</v>
      </c>
      <c r="D16">
        <v>25.7</v>
      </c>
      <c r="E16">
        <v>1.32</v>
      </c>
      <c r="F16">
        <v>13.2</v>
      </c>
      <c r="G16">
        <f t="shared" si="0"/>
        <v>0.14955600000000005</v>
      </c>
      <c r="H16">
        <f t="shared" si="1"/>
        <v>1.4955600000000004</v>
      </c>
      <c r="I16">
        <f>G16*5</f>
        <v>0.74778000000000022</v>
      </c>
      <c r="J16">
        <f t="shared" si="2"/>
        <v>7.4778000000000011</v>
      </c>
      <c r="K16">
        <f t="shared" si="3"/>
        <v>8.9560606060606069</v>
      </c>
      <c r="L16">
        <f t="shared" si="4"/>
        <v>9.9999999999999982</v>
      </c>
      <c r="M16">
        <f t="shared" si="5"/>
        <v>89.560606060606062</v>
      </c>
      <c r="O16">
        <f>STDEV(O12:O14)</f>
        <v>0.10311643903859369</v>
      </c>
    </row>
    <row r="17" spans="1:21" x14ac:dyDescent="0.2">
      <c r="B17" t="s">
        <v>104</v>
      </c>
      <c r="C17">
        <f>(C14*2+C15*3+C16*5)/10</f>
        <v>7.76</v>
      </c>
      <c r="D17">
        <f>AVERAGE(D14:D16)</f>
        <v>32.833333333333336</v>
      </c>
      <c r="I17">
        <f>SUM(I14:I16)</f>
        <v>1.3428690000000003</v>
      </c>
      <c r="J17">
        <f>SUM(J14:J16)</f>
        <v>12.402060000000002</v>
      </c>
      <c r="O17">
        <f>O16/O15</f>
        <v>8.3766400518760109E-2</v>
      </c>
    </row>
    <row r="19" spans="1:21" x14ac:dyDescent="0.2">
      <c r="A19" t="s">
        <v>107</v>
      </c>
      <c r="B19" t="s">
        <v>95</v>
      </c>
      <c r="C19">
        <f t="shared" ref="C19:E21" si="6">(C4+C9+C14)/3</f>
        <v>3.1999999999999997</v>
      </c>
      <c r="D19">
        <f t="shared" si="6"/>
        <v>42.266666666666673</v>
      </c>
      <c r="E19">
        <f t="shared" si="6"/>
        <v>2.4833333333333334</v>
      </c>
      <c r="I19">
        <f t="shared" ref="I19:J21" si="7">(I4+I9+I14)/3</f>
        <v>0.17400533333333335</v>
      </c>
      <c r="J19">
        <f t="shared" si="7"/>
        <v>1.3603333333333334</v>
      </c>
      <c r="K19">
        <f t="shared" ref="K19:M21" si="8">(K4+K9+K14)/3</f>
        <v>10.037734419942034</v>
      </c>
      <c r="L19">
        <f t="shared" si="8"/>
        <v>7.826614285914232</v>
      </c>
      <c r="M19">
        <f t="shared" si="8"/>
        <v>78.295096958627255</v>
      </c>
    </row>
    <row r="20" spans="1:21" x14ac:dyDescent="0.2">
      <c r="B20" s="1" t="s">
        <v>96</v>
      </c>
      <c r="C20">
        <f t="shared" si="6"/>
        <v>5</v>
      </c>
      <c r="D20">
        <f t="shared" si="6"/>
        <v>39.833333333333336</v>
      </c>
      <c r="E20">
        <f t="shared" si="6"/>
        <v>2.3366666666666664</v>
      </c>
      <c r="I20">
        <f t="shared" si="7"/>
        <v>0.37808100000000006</v>
      </c>
      <c r="J20">
        <f t="shared" si="7"/>
        <v>3.0795600000000003</v>
      </c>
      <c r="K20">
        <f t="shared" si="8"/>
        <v>9.6429763915474975</v>
      </c>
      <c r="L20">
        <f t="shared" si="8"/>
        <v>8.1445906782590196</v>
      </c>
      <c r="M20">
        <f t="shared" si="8"/>
        <v>78.408729999202365</v>
      </c>
    </row>
    <row r="21" spans="1:21" x14ac:dyDescent="0.2">
      <c r="B21" t="s">
        <v>97</v>
      </c>
      <c r="C21">
        <f t="shared" si="6"/>
        <v>6.9333333333333336</v>
      </c>
      <c r="D21">
        <f t="shared" si="6"/>
        <v>36.033333333333339</v>
      </c>
      <c r="E21">
        <f t="shared" si="6"/>
        <v>1.9333333333333336</v>
      </c>
      <c r="I21">
        <f t="shared" si="7"/>
        <v>0.67930500000000016</v>
      </c>
      <c r="J21">
        <f t="shared" si="7"/>
        <v>6.2566166666666669</v>
      </c>
      <c r="K21">
        <f t="shared" si="8"/>
        <v>9.4358758228073309</v>
      </c>
      <c r="L21">
        <f t="shared" si="8"/>
        <v>9.1795588382074058</v>
      </c>
      <c r="M21">
        <f t="shared" si="8"/>
        <v>86.211761390731354</v>
      </c>
    </row>
    <row r="22" spans="1:21" x14ac:dyDescent="0.2">
      <c r="B22" t="s">
        <v>104</v>
      </c>
      <c r="E22">
        <f>AVERAGE(E19:E21)</f>
        <v>2.2511111111111113</v>
      </c>
      <c r="I22">
        <f>SUM(I19:I21)</f>
        <v>1.2313913333333337</v>
      </c>
      <c r="J22">
        <f>SUM(J19:J21)</f>
        <v>10.69651</v>
      </c>
    </row>
    <row r="23" spans="1:21" x14ac:dyDescent="0.2">
      <c r="F23" t="s">
        <v>115</v>
      </c>
      <c r="G23" t="s">
        <v>116</v>
      </c>
      <c r="L23" t="s">
        <v>115</v>
      </c>
    </row>
    <row r="24" spans="1:21" x14ac:dyDescent="0.2">
      <c r="A24" t="s">
        <v>50</v>
      </c>
      <c r="B24" t="s">
        <v>104</v>
      </c>
      <c r="C24" t="s">
        <v>112</v>
      </c>
      <c r="D24">
        <v>12.314</v>
      </c>
      <c r="F24">
        <f>D24*40</f>
        <v>492.56</v>
      </c>
      <c r="I24" t="s">
        <v>95</v>
      </c>
      <c r="J24">
        <v>1.74</v>
      </c>
      <c r="L24">
        <f>J24*40</f>
        <v>69.599999999999994</v>
      </c>
      <c r="M24" t="s">
        <v>113</v>
      </c>
    </row>
    <row r="25" spans="1:21" x14ac:dyDescent="0.2">
      <c r="A25" t="s">
        <v>111</v>
      </c>
      <c r="B25" t="s">
        <v>104</v>
      </c>
      <c r="C25" t="s">
        <v>112</v>
      </c>
      <c r="D25">
        <v>106.96</v>
      </c>
      <c r="F25">
        <f>D25*40</f>
        <v>4278.3999999999996</v>
      </c>
      <c r="I25" t="s">
        <v>95</v>
      </c>
      <c r="J25">
        <v>13.6</v>
      </c>
      <c r="L25">
        <f>J25*40</f>
        <v>544</v>
      </c>
      <c r="M25" t="s">
        <v>113</v>
      </c>
    </row>
    <row r="28" spans="1:21" x14ac:dyDescent="0.2">
      <c r="A28" t="s">
        <v>114</v>
      </c>
      <c r="C28">
        <v>2002</v>
      </c>
      <c r="O28">
        <v>1988</v>
      </c>
      <c r="P28">
        <v>2002</v>
      </c>
      <c r="Q28">
        <v>2009</v>
      </c>
      <c r="R28">
        <v>2014</v>
      </c>
      <c r="S28">
        <v>2018</v>
      </c>
      <c r="T28">
        <v>1988</v>
      </c>
      <c r="U28">
        <v>2002</v>
      </c>
    </row>
    <row r="29" spans="1:21" x14ac:dyDescent="0.2">
      <c r="E29" t="s">
        <v>50</v>
      </c>
      <c r="F29" t="s">
        <v>52</v>
      </c>
      <c r="G29" t="s">
        <v>50</v>
      </c>
      <c r="H29" t="s">
        <v>52</v>
      </c>
      <c r="I29" t="s">
        <v>50</v>
      </c>
      <c r="J29" t="s">
        <v>52</v>
      </c>
      <c r="O29" t="s">
        <v>119</v>
      </c>
      <c r="P29" t="s">
        <v>119</v>
      </c>
      <c r="T29" t="s">
        <v>120</v>
      </c>
      <c r="U29" t="s">
        <v>121</v>
      </c>
    </row>
    <row r="30" spans="1:21" x14ac:dyDescent="0.2"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102</v>
      </c>
      <c r="I30" t="s">
        <v>103</v>
      </c>
      <c r="J30" t="s">
        <v>103</v>
      </c>
      <c r="K30" t="s">
        <v>108</v>
      </c>
      <c r="L30" t="s">
        <v>109</v>
      </c>
      <c r="M30" t="s">
        <v>110</v>
      </c>
      <c r="O30">
        <v>2.9</v>
      </c>
      <c r="P30">
        <v>5.7</v>
      </c>
      <c r="T30">
        <v>44.5</v>
      </c>
      <c r="U30">
        <v>26.9</v>
      </c>
    </row>
    <row r="31" spans="1:21" x14ac:dyDescent="0.2">
      <c r="A31" t="s">
        <v>94</v>
      </c>
      <c r="B31" t="s">
        <v>95</v>
      </c>
      <c r="C31">
        <v>5.7</v>
      </c>
      <c r="D31">
        <v>26.9</v>
      </c>
      <c r="E31">
        <v>1.1200000000000001</v>
      </c>
      <c r="F31">
        <v>14.8</v>
      </c>
      <c r="G31">
        <f>1.1*C31*E31/100</f>
        <v>7.0224000000000009E-2</v>
      </c>
      <c r="H31">
        <f>G31*F31/E31</f>
        <v>0.92796000000000001</v>
      </c>
      <c r="I31">
        <f>G31*2</f>
        <v>0.14044800000000002</v>
      </c>
      <c r="J31">
        <f>I31*F31/E31</f>
        <v>1.85592</v>
      </c>
      <c r="K31">
        <f>1.1*D31*0.46*10/F31</f>
        <v>9.1968918918918909</v>
      </c>
      <c r="L31">
        <f>F31/E31</f>
        <v>13.214285714285714</v>
      </c>
      <c r="M31">
        <f>K31*L31</f>
        <v>121.53035714285713</v>
      </c>
      <c r="O31">
        <v>4.2</v>
      </c>
      <c r="P31">
        <v>16.5</v>
      </c>
      <c r="T31">
        <v>43.8</v>
      </c>
      <c r="U31">
        <v>19.8</v>
      </c>
    </row>
    <row r="32" spans="1:21" x14ac:dyDescent="0.2">
      <c r="B32" s="1" t="s">
        <v>96</v>
      </c>
      <c r="C32">
        <v>16.5</v>
      </c>
      <c r="D32">
        <v>19.8</v>
      </c>
      <c r="E32">
        <v>0.68</v>
      </c>
      <c r="F32">
        <v>10.7</v>
      </c>
      <c r="G32">
        <f t="shared" ref="G32:G42" si="9">1.1*C32*E32/100</f>
        <v>0.12342000000000003</v>
      </c>
      <c r="H32">
        <f t="shared" ref="H32:H42" si="10">G32*F32/E32</f>
        <v>1.9420500000000003</v>
      </c>
      <c r="I32">
        <f>G32*3</f>
        <v>0.37026000000000009</v>
      </c>
      <c r="J32">
        <f t="shared" ref="J32:J43" si="11">I32*F32/E32</f>
        <v>5.8261500000000011</v>
      </c>
      <c r="K32">
        <f t="shared" ref="K32:K43" si="12">1.1*D32*0.46*10/F32</f>
        <v>9.3633644859813092</v>
      </c>
      <c r="L32">
        <f t="shared" ref="L32:L43" si="13">F32/E32</f>
        <v>15.735294117647056</v>
      </c>
      <c r="M32">
        <f t="shared" ref="M32:M43" si="14">K32*L32</f>
        <v>147.33529411764704</v>
      </c>
      <c r="O32">
        <v>4.9000000000000004</v>
      </c>
      <c r="P32">
        <v>18.100000000000001</v>
      </c>
      <c r="T32">
        <v>43.7</v>
      </c>
      <c r="U32">
        <v>16.600000000000001</v>
      </c>
    </row>
    <row r="33" spans="1:34" x14ac:dyDescent="0.2">
      <c r="B33" t="s">
        <v>97</v>
      </c>
      <c r="C33">
        <v>18.100000000000001</v>
      </c>
      <c r="D33">
        <v>16.600000000000001</v>
      </c>
      <c r="E33">
        <v>0.7</v>
      </c>
      <c r="F33">
        <v>9.75</v>
      </c>
      <c r="G33">
        <f t="shared" si="9"/>
        <v>0.13937000000000002</v>
      </c>
      <c r="H33">
        <f t="shared" si="10"/>
        <v>1.9412250000000004</v>
      </c>
      <c r="I33">
        <f>G33*5</f>
        <v>0.69685000000000008</v>
      </c>
      <c r="J33">
        <f t="shared" si="11"/>
        <v>9.7061250000000019</v>
      </c>
      <c r="K33">
        <f t="shared" si="12"/>
        <v>8.6149743589743597</v>
      </c>
      <c r="L33">
        <f t="shared" si="13"/>
        <v>13.928571428571429</v>
      </c>
      <c r="M33">
        <f t="shared" si="14"/>
        <v>119.99428571428572</v>
      </c>
      <c r="O33">
        <f>(O30*2+O31*3+O32*5)/10</f>
        <v>4.2900000000000009</v>
      </c>
      <c r="T33">
        <f>AVERAGE(T30:T32)</f>
        <v>44</v>
      </c>
    </row>
    <row r="34" spans="1:34" x14ac:dyDescent="0.2">
      <c r="B34" t="s">
        <v>104</v>
      </c>
      <c r="I34">
        <f>SUM(I31:I33)</f>
        <v>1.2075580000000001</v>
      </c>
      <c r="J34">
        <f>SUM(J31:J33)</f>
        <v>17.388195000000003</v>
      </c>
      <c r="K34">
        <f>(K31*2+K32*3+K33*5)/10</f>
        <v>8.9558749036599501</v>
      </c>
      <c r="L34">
        <f>(L31*2+L32*3+L33*5)/10</f>
        <v>14.327731092436972</v>
      </c>
      <c r="M34">
        <f>(M31*2+M32*3+M33*5)/10</f>
        <v>128.5038025210084</v>
      </c>
    </row>
    <row r="35" spans="1:34" x14ac:dyDescent="0.2">
      <c r="O35">
        <v>3.1</v>
      </c>
      <c r="P35">
        <v>6.41</v>
      </c>
      <c r="T35">
        <v>43.4</v>
      </c>
      <c r="U35">
        <v>26.4</v>
      </c>
    </row>
    <row r="36" spans="1:34" x14ac:dyDescent="0.2">
      <c r="A36" t="s">
        <v>105</v>
      </c>
      <c r="B36" t="s">
        <v>95</v>
      </c>
      <c r="C36">
        <v>6.41</v>
      </c>
      <c r="D36">
        <v>26.4</v>
      </c>
      <c r="E36">
        <v>1.18</v>
      </c>
      <c r="F36">
        <v>15.7</v>
      </c>
      <c r="G36">
        <f t="shared" si="9"/>
        <v>8.3201800000000006E-2</v>
      </c>
      <c r="H36">
        <f t="shared" si="10"/>
        <v>1.1070070000000001</v>
      </c>
      <c r="I36">
        <f>G36*2</f>
        <v>0.16640360000000001</v>
      </c>
      <c r="J36">
        <f t="shared" si="11"/>
        <v>2.2140140000000001</v>
      </c>
      <c r="K36">
        <f t="shared" si="12"/>
        <v>8.5085350318471349</v>
      </c>
      <c r="L36">
        <f t="shared" si="13"/>
        <v>13.305084745762713</v>
      </c>
      <c r="M36">
        <f t="shared" si="14"/>
        <v>113.20677966101697</v>
      </c>
      <c r="O36">
        <v>4.5</v>
      </c>
      <c r="P36">
        <v>8.5500000000000007</v>
      </c>
      <c r="T36">
        <v>41.8</v>
      </c>
      <c r="U36">
        <v>21</v>
      </c>
    </row>
    <row r="37" spans="1:34" x14ac:dyDescent="0.2">
      <c r="B37" s="1" t="s">
        <v>96</v>
      </c>
      <c r="C37">
        <v>8.5500000000000007</v>
      </c>
      <c r="D37">
        <v>21</v>
      </c>
      <c r="E37">
        <v>0.8</v>
      </c>
      <c r="F37">
        <v>10.8</v>
      </c>
      <c r="G37">
        <f t="shared" si="9"/>
        <v>7.5240000000000015E-2</v>
      </c>
      <c r="H37">
        <f t="shared" si="10"/>
        <v>1.0157400000000001</v>
      </c>
      <c r="I37">
        <f>G37*3</f>
        <v>0.22572000000000003</v>
      </c>
      <c r="J37">
        <f t="shared" si="11"/>
        <v>3.0472200000000003</v>
      </c>
      <c r="K37">
        <f t="shared" si="12"/>
        <v>9.8388888888888903</v>
      </c>
      <c r="L37">
        <f t="shared" si="13"/>
        <v>13.5</v>
      </c>
      <c r="M37">
        <f t="shared" si="14"/>
        <v>132.82500000000002</v>
      </c>
      <c r="O37">
        <v>5.6</v>
      </c>
      <c r="P37">
        <v>20.3</v>
      </c>
      <c r="T37">
        <v>38.700000000000003</v>
      </c>
      <c r="U37">
        <v>13.5</v>
      </c>
    </row>
    <row r="38" spans="1:34" x14ac:dyDescent="0.2">
      <c r="B38" t="s">
        <v>97</v>
      </c>
      <c r="C38">
        <v>20.3</v>
      </c>
      <c r="D38">
        <v>13.5</v>
      </c>
      <c r="E38">
        <v>0.44</v>
      </c>
      <c r="F38">
        <v>6.99</v>
      </c>
      <c r="G38">
        <f t="shared" si="9"/>
        <v>9.8252000000000006E-2</v>
      </c>
      <c r="H38">
        <f t="shared" si="10"/>
        <v>1.5608670000000002</v>
      </c>
      <c r="I38">
        <f>G38*5</f>
        <v>0.49126000000000003</v>
      </c>
      <c r="J38">
        <f t="shared" si="11"/>
        <v>7.8043350000000009</v>
      </c>
      <c r="K38">
        <f t="shared" si="12"/>
        <v>9.772532188841204</v>
      </c>
      <c r="L38">
        <f t="shared" si="13"/>
        <v>15.886363636363637</v>
      </c>
      <c r="M38">
        <f t="shared" si="14"/>
        <v>155.25000000000003</v>
      </c>
      <c r="O38">
        <f>(O35*2+O36*3+O37*5)/10</f>
        <v>4.7700000000000005</v>
      </c>
      <c r="T38">
        <f>AVERAGE(T35:T37)</f>
        <v>41.3</v>
      </c>
    </row>
    <row r="39" spans="1:34" x14ac:dyDescent="0.2">
      <c r="B39" t="s">
        <v>104</v>
      </c>
      <c r="I39">
        <f>SUM(I36:I38)</f>
        <v>0.88338360000000005</v>
      </c>
      <c r="J39">
        <f>SUM(J36:J38)</f>
        <v>13.065569</v>
      </c>
      <c r="K39">
        <f>(K36*2+K37*3+K38*5)/10</f>
        <v>9.5396397674566966</v>
      </c>
      <c r="L39">
        <f>(L36*2+L37*3+L38*5)/10</f>
        <v>14.654198767334361</v>
      </c>
      <c r="M39">
        <f>(M36*2+M37*3+M38*5)/10</f>
        <v>140.11385593220342</v>
      </c>
    </row>
    <row r="40" spans="1:34" x14ac:dyDescent="0.2">
      <c r="O40">
        <v>3.6</v>
      </c>
      <c r="P40">
        <v>4.0999999999999996</v>
      </c>
      <c r="T40">
        <v>38.9</v>
      </c>
      <c r="U40">
        <v>30.6</v>
      </c>
    </row>
    <row r="41" spans="1:34" x14ac:dyDescent="0.2">
      <c r="A41" t="s">
        <v>106</v>
      </c>
      <c r="B41" t="s">
        <v>95</v>
      </c>
      <c r="C41">
        <v>4.0999999999999996</v>
      </c>
      <c r="D41">
        <v>30.6</v>
      </c>
      <c r="E41">
        <v>1.48</v>
      </c>
      <c r="F41">
        <v>15.8</v>
      </c>
      <c r="G41">
        <f t="shared" si="9"/>
        <v>6.6747999999999988E-2</v>
      </c>
      <c r="H41">
        <f t="shared" si="10"/>
        <v>0.71257999999999988</v>
      </c>
      <c r="I41">
        <f>G41*2</f>
        <v>0.13349599999999998</v>
      </c>
      <c r="J41">
        <f t="shared" si="11"/>
        <v>1.4251599999999998</v>
      </c>
      <c r="K41">
        <f t="shared" si="12"/>
        <v>9.7997468354430382</v>
      </c>
      <c r="L41">
        <f t="shared" si="13"/>
        <v>10.675675675675675</v>
      </c>
      <c r="M41">
        <f t="shared" si="14"/>
        <v>104.61891891891892</v>
      </c>
      <c r="O41">
        <v>6.3</v>
      </c>
      <c r="P41">
        <v>10</v>
      </c>
      <c r="T41">
        <v>33.9</v>
      </c>
      <c r="U41">
        <v>27</v>
      </c>
    </row>
    <row r="42" spans="1:34" x14ac:dyDescent="0.2">
      <c r="B42" s="1" t="s">
        <v>96</v>
      </c>
      <c r="C42">
        <v>10</v>
      </c>
      <c r="D42">
        <v>27</v>
      </c>
      <c r="E42">
        <v>1.32</v>
      </c>
      <c r="F42">
        <v>14.7</v>
      </c>
      <c r="G42">
        <f t="shared" si="9"/>
        <v>0.14520000000000002</v>
      </c>
      <c r="H42">
        <f t="shared" si="10"/>
        <v>1.617</v>
      </c>
      <c r="I42">
        <f>G42*3</f>
        <v>0.4356000000000001</v>
      </c>
      <c r="J42">
        <f t="shared" si="11"/>
        <v>4.851</v>
      </c>
      <c r="K42">
        <f t="shared" si="12"/>
        <v>9.2938775510204117</v>
      </c>
      <c r="L42">
        <f t="shared" si="13"/>
        <v>11.136363636363635</v>
      </c>
      <c r="M42">
        <f t="shared" si="14"/>
        <v>103.50000000000003</v>
      </c>
      <c r="O42">
        <v>10.3</v>
      </c>
      <c r="P42">
        <v>11.9</v>
      </c>
      <c r="T42">
        <v>25.7</v>
      </c>
      <c r="U42">
        <v>20.3</v>
      </c>
    </row>
    <row r="43" spans="1:34" x14ac:dyDescent="0.2">
      <c r="B43" t="s">
        <v>97</v>
      </c>
      <c r="C43">
        <v>11.9</v>
      </c>
      <c r="D43">
        <v>20.3</v>
      </c>
      <c r="E43">
        <v>0.84</v>
      </c>
      <c r="F43">
        <v>12.5</v>
      </c>
      <c r="G43">
        <f>1.1*C43*E43/100</f>
        <v>0.10995600000000001</v>
      </c>
      <c r="H43">
        <f>G43*F43/E43</f>
        <v>1.6362500000000002</v>
      </c>
      <c r="I43">
        <f>G43*5</f>
        <v>0.54978000000000005</v>
      </c>
      <c r="J43">
        <f t="shared" si="11"/>
        <v>8.1812500000000004</v>
      </c>
      <c r="K43">
        <f t="shared" si="12"/>
        <v>8.2174399999999999</v>
      </c>
      <c r="L43">
        <f t="shared" si="13"/>
        <v>14.880952380952381</v>
      </c>
      <c r="M43">
        <f t="shared" si="14"/>
        <v>122.28333333333333</v>
      </c>
      <c r="O43">
        <f>(O40*2+O41*3+O42*5)/10</f>
        <v>7.76</v>
      </c>
      <c r="T43">
        <f>AVERAGE(T40:T42)</f>
        <v>32.833333333333336</v>
      </c>
    </row>
    <row r="44" spans="1:34" x14ac:dyDescent="0.2">
      <c r="B44" t="s">
        <v>104</v>
      </c>
      <c r="I44">
        <f>SUM(I41:I43)</f>
        <v>1.1188760000000002</v>
      </c>
      <c r="J44">
        <f>SUM(J41:J43)</f>
        <v>14.457409999999999</v>
      </c>
      <c r="K44">
        <f>(K41*2+K42*3+K43*5)/10</f>
        <v>8.8568326323947311</v>
      </c>
      <c r="L44">
        <f>(L41*2+L42*3+L43*5)/10</f>
        <v>12.916520416520417</v>
      </c>
      <c r="M44">
        <f>(M41*2+M42*3+M43*5)/10</f>
        <v>113.11545045045045</v>
      </c>
      <c r="N44" s="2"/>
      <c r="O44" s="2">
        <v>1988</v>
      </c>
      <c r="P44" s="2">
        <v>2002</v>
      </c>
      <c r="Q44" s="2">
        <v>2009</v>
      </c>
      <c r="R44" s="2">
        <v>2014</v>
      </c>
      <c r="S44" s="2">
        <v>2018</v>
      </c>
      <c r="T44" s="2">
        <v>1988</v>
      </c>
      <c r="U44" s="2">
        <v>2002</v>
      </c>
      <c r="V44" s="2">
        <v>2009</v>
      </c>
      <c r="W44" s="2">
        <v>2014</v>
      </c>
      <c r="X44" s="2">
        <v>2018</v>
      </c>
      <c r="Y44" s="2">
        <v>1988</v>
      </c>
      <c r="Z44" s="2">
        <v>2002</v>
      </c>
      <c r="AA44" s="2">
        <v>2009</v>
      </c>
      <c r="AB44" s="2">
        <v>2014</v>
      </c>
      <c r="AC44" s="2">
        <v>2018</v>
      </c>
      <c r="AD44" s="2">
        <v>1988</v>
      </c>
      <c r="AE44" s="2">
        <v>2002</v>
      </c>
      <c r="AF44" s="2">
        <v>2009</v>
      </c>
      <c r="AG44" s="2">
        <v>2014</v>
      </c>
      <c r="AH44" s="2">
        <v>2018</v>
      </c>
    </row>
    <row r="45" spans="1:34" x14ac:dyDescent="0.2">
      <c r="N45" s="2" t="s">
        <v>170</v>
      </c>
      <c r="O45" s="2"/>
      <c r="P45" s="2" t="s">
        <v>171</v>
      </c>
      <c r="Q45" s="2"/>
      <c r="R45" s="2"/>
      <c r="S45" s="2"/>
      <c r="T45" s="2" t="s">
        <v>174</v>
      </c>
      <c r="U45" s="2"/>
      <c r="V45" s="2" t="s">
        <v>175</v>
      </c>
      <c r="W45" s="2"/>
      <c r="X45" s="2"/>
      <c r="Y45" s="2" t="s">
        <v>176</v>
      </c>
      <c r="Z45" s="2"/>
      <c r="AA45" s="2"/>
      <c r="AB45" s="2"/>
      <c r="AC45" s="2"/>
      <c r="AD45" s="2" t="s">
        <v>177</v>
      </c>
      <c r="AE45" s="2"/>
      <c r="AF45" s="2"/>
      <c r="AG45" s="2"/>
      <c r="AH45" s="2"/>
    </row>
    <row r="46" spans="1:34" x14ac:dyDescent="0.2">
      <c r="A46" t="s">
        <v>107</v>
      </c>
      <c r="B46" t="s">
        <v>95</v>
      </c>
      <c r="C46">
        <f t="shared" ref="C46:E48" si="15">(C31+C36+C41)/3</f>
        <v>5.4033333333333333</v>
      </c>
      <c r="D46">
        <f t="shared" si="15"/>
        <v>27.966666666666669</v>
      </c>
      <c r="E46">
        <f t="shared" si="15"/>
        <v>1.26</v>
      </c>
      <c r="I46">
        <f t="shared" ref="I46:K48" si="16">(I31+I36+I41)/3</f>
        <v>0.14678253333333333</v>
      </c>
      <c r="J46">
        <f t="shared" si="16"/>
        <v>1.831698</v>
      </c>
      <c r="K46">
        <f t="shared" si="16"/>
        <v>9.1683912530606886</v>
      </c>
      <c r="L46">
        <f>J46/I46</f>
        <v>12.478991596638656</v>
      </c>
      <c r="M46">
        <f>(M31+M36+M41)/3</f>
        <v>113.11868524093101</v>
      </c>
      <c r="N46" s="2" t="s">
        <v>95</v>
      </c>
      <c r="O46" s="2">
        <v>3.1999999999999997</v>
      </c>
      <c r="P46" s="2">
        <v>5.4033333333333333</v>
      </c>
      <c r="Q46" s="2">
        <f>(2.78+3.2+3.06)/3</f>
        <v>3.0133333333333336</v>
      </c>
      <c r="R46" s="2">
        <f>(3.06+3+2.9+3.3)/4</f>
        <v>3.0650000000000004</v>
      </c>
      <c r="S46" s="2">
        <f>(2.9+3+3.3)/3</f>
        <v>3.0666666666666664</v>
      </c>
      <c r="T46" s="2">
        <f t="shared" ref="T46:U48" si="17">(T30+T35+T40)/3</f>
        <v>42.266666666666673</v>
      </c>
      <c r="U46" s="2">
        <f t="shared" si="17"/>
        <v>27.966666666666669</v>
      </c>
      <c r="V46" s="2">
        <f>(32+35.6+39.7)/3</f>
        <v>35.766666666666666</v>
      </c>
      <c r="W46" s="2">
        <f>(39+39+33)/3</f>
        <v>37</v>
      </c>
      <c r="X46" s="2">
        <f>(41+31.4+35.6)/3</f>
        <v>36</v>
      </c>
      <c r="Y46" s="2">
        <v>2.4833333333333334</v>
      </c>
      <c r="Z46" s="2">
        <v>1.26</v>
      </c>
      <c r="AA46" s="2">
        <f>(1.6+1.41+1.33)/3</f>
        <v>1.4466666666666665</v>
      </c>
      <c r="AB46" s="2">
        <f>(1.4+1.8+1.5)/3</f>
        <v>1.5666666666666667</v>
      </c>
      <c r="AC46" s="2">
        <f>(1.8+1.5+1.6)/3</f>
        <v>1.6333333333333335</v>
      </c>
      <c r="AD46" s="2">
        <f>4.4*T46/Y46</f>
        <v>74.888590604026859</v>
      </c>
      <c r="AE46" s="2">
        <f>4.4*U46/Z46</f>
        <v>97.661375661375672</v>
      </c>
      <c r="AF46" s="2">
        <f>4.4*V46/AA46</f>
        <v>108.78341013824885</v>
      </c>
      <c r="AG46" s="2">
        <f>4.4*W46/AB46</f>
        <v>103.91489361702128</v>
      </c>
      <c r="AH46" s="2">
        <f>4.4*X46/AC46</f>
        <v>96.979591836734684</v>
      </c>
    </row>
    <row r="47" spans="1:34" x14ac:dyDescent="0.2">
      <c r="B47" s="1" t="s">
        <v>96</v>
      </c>
      <c r="C47">
        <f t="shared" si="15"/>
        <v>11.683333333333332</v>
      </c>
      <c r="D47">
        <f t="shared" si="15"/>
        <v>22.599999999999998</v>
      </c>
      <c r="E47">
        <f t="shared" si="15"/>
        <v>0.93333333333333324</v>
      </c>
      <c r="I47">
        <f t="shared" si="16"/>
        <v>0.34386000000000011</v>
      </c>
      <c r="J47">
        <f t="shared" si="16"/>
        <v>4.5747900000000001</v>
      </c>
      <c r="K47">
        <f t="shared" si="16"/>
        <v>9.4987103086302032</v>
      </c>
      <c r="L47">
        <f>J47/I47</f>
        <v>13.304222648752395</v>
      </c>
      <c r="M47">
        <f>(M32+M37+M42)/3</f>
        <v>127.88676470588234</v>
      </c>
      <c r="N47" s="2" t="s">
        <v>172</v>
      </c>
      <c r="O47" s="2">
        <v>5</v>
      </c>
      <c r="P47" s="2">
        <v>11.683333333333332</v>
      </c>
      <c r="Q47" s="2">
        <f>(4.8+6.49+5.49)/3</f>
        <v>5.5933333333333337</v>
      </c>
      <c r="R47" s="2">
        <f>(4.3+4.4+4.9)/3</f>
        <v>4.5333333333333332</v>
      </c>
      <c r="S47" s="2">
        <f>(5.7+4.5+4.3)/3</f>
        <v>4.833333333333333</v>
      </c>
      <c r="T47" s="2">
        <f t="shared" si="17"/>
        <v>39.833333333333336</v>
      </c>
      <c r="U47" s="2">
        <f t="shared" si="17"/>
        <v>22.599999999999998</v>
      </c>
      <c r="V47" s="2">
        <f>(33.4+28.2+31.8)/3</f>
        <v>31.133333333333329</v>
      </c>
      <c r="W47" s="2">
        <f>(37+33+32)/3</f>
        <v>34</v>
      </c>
      <c r="X47" s="2">
        <f>(40.7+36.6+28.8)/3</f>
        <v>35.366666666666667</v>
      </c>
      <c r="Y47" s="2">
        <v>2.3366666666666664</v>
      </c>
      <c r="Z47" s="2">
        <v>0.93333333333333324</v>
      </c>
      <c r="AA47" s="2">
        <f>(1.41+1.53+1.16)/3</f>
        <v>1.3666666666666665</v>
      </c>
      <c r="AB47" s="2">
        <f>(1.7+1.5+1.5)/3</f>
        <v>1.5666666666666667</v>
      </c>
      <c r="AC47" s="2">
        <f>(1.9+1.6+2.2)/3</f>
        <v>1.9000000000000001</v>
      </c>
      <c r="AD47" s="2">
        <f t="shared" ref="AD47:AD48" si="18">4.4*T47/Y47</f>
        <v>75.007132667617697</v>
      </c>
      <c r="AE47" s="2">
        <f t="shared" ref="AE47:AE48" si="19">4.4*U47/Z47</f>
        <v>106.54285714285714</v>
      </c>
      <c r="AF47" s="2">
        <f t="shared" ref="AF47:AF48" si="20">4.4*V47/AA47</f>
        <v>100.23414634146341</v>
      </c>
      <c r="AG47" s="2">
        <f t="shared" ref="AG47:AG48" si="21">4.4*W47/AB47</f>
        <v>95.489361702127681</v>
      </c>
      <c r="AH47" s="2">
        <f t="shared" ref="AH47:AH48" si="22">4.4*X47/AC47</f>
        <v>81.901754385964907</v>
      </c>
    </row>
    <row r="48" spans="1:34" x14ac:dyDescent="0.2">
      <c r="B48" t="s">
        <v>97</v>
      </c>
      <c r="C48">
        <f t="shared" si="15"/>
        <v>16.766666666666669</v>
      </c>
      <c r="D48">
        <f t="shared" si="15"/>
        <v>16.8</v>
      </c>
      <c r="E48">
        <f t="shared" si="15"/>
        <v>0.66</v>
      </c>
      <c r="I48">
        <f t="shared" si="16"/>
        <v>0.57929666666666668</v>
      </c>
      <c r="J48">
        <f t="shared" si="16"/>
        <v>8.5639033333333341</v>
      </c>
      <c r="K48">
        <f t="shared" si="16"/>
        <v>8.8683155159385212</v>
      </c>
      <c r="L48">
        <f>J48/I48</f>
        <v>14.783277422621685</v>
      </c>
      <c r="M48">
        <f>(M33+M38+M43)/3</f>
        <v>132.50920634920635</v>
      </c>
      <c r="N48" s="2" t="s">
        <v>173</v>
      </c>
      <c r="O48" s="2">
        <v>6.9333333333333336</v>
      </c>
      <c r="P48" s="2">
        <v>16.766666666666669</v>
      </c>
      <c r="Q48" s="2">
        <f>(6.79+6.14+10.6)/3</f>
        <v>7.8433333333333337</v>
      </c>
      <c r="R48" s="2">
        <f>(6.4+5.3+6)/3</f>
        <v>5.8999999999999995</v>
      </c>
      <c r="S48" s="2">
        <f>(7.2+6.5+6.2)/3</f>
        <v>6.6333333333333329</v>
      </c>
      <c r="T48" s="2">
        <f t="shared" si="17"/>
        <v>36.033333333333339</v>
      </c>
      <c r="U48" s="2">
        <f t="shared" si="17"/>
        <v>16.8</v>
      </c>
      <c r="V48" s="2">
        <f>(17.5+31.7+32)/3</f>
        <v>27.066666666666666</v>
      </c>
      <c r="W48" s="2">
        <f>(29+34+26)/3</f>
        <v>29.666666666666668</v>
      </c>
      <c r="X48" s="2">
        <f>(36.6+28.8+31.3)/3</f>
        <v>32.233333333333334</v>
      </c>
      <c r="Y48" s="2">
        <v>1.9333333333333336</v>
      </c>
      <c r="Z48" s="2">
        <v>0.66</v>
      </c>
      <c r="AA48" s="2">
        <f>(1.27+1.44+0.87)/3</f>
        <v>1.1933333333333334</v>
      </c>
      <c r="AB48" s="2">
        <v>1.6</v>
      </c>
      <c r="AC48" s="2">
        <f>(2.2+1.7+1.7)/3</f>
        <v>1.8666666666666669</v>
      </c>
      <c r="AD48" s="2">
        <f t="shared" si="18"/>
        <v>82.006896551724154</v>
      </c>
      <c r="AE48" s="2">
        <f t="shared" si="19"/>
        <v>112.00000000000001</v>
      </c>
      <c r="AF48" s="2">
        <f t="shared" si="20"/>
        <v>99.798882681564251</v>
      </c>
      <c r="AG48" s="2">
        <f t="shared" si="21"/>
        <v>81.583333333333343</v>
      </c>
      <c r="AH48" s="2">
        <f t="shared" si="22"/>
        <v>75.978571428571428</v>
      </c>
    </row>
    <row r="49" spans="1:28" x14ac:dyDescent="0.2">
      <c r="B49" t="s">
        <v>104</v>
      </c>
      <c r="E49">
        <f>AVERAGE(E46:E48)</f>
        <v>0.95111111111111113</v>
      </c>
      <c r="I49">
        <f>SUM(I46:I48)</f>
        <v>1.0699392000000001</v>
      </c>
      <c r="J49">
        <f>SUM(J46:J48)</f>
        <v>14.970391333333335</v>
      </c>
      <c r="K49">
        <f>(K34+K39+K44)/3</f>
        <v>9.1174491011704593</v>
      </c>
      <c r="L49">
        <f>J49/I49</f>
        <v>13.991814986621048</v>
      </c>
      <c r="M49">
        <f>(M46*2+M47*3+M48*5)/10</f>
        <v>127.24436963455409</v>
      </c>
    </row>
    <row r="50" spans="1:28" x14ac:dyDescent="0.2">
      <c r="D50" t="s">
        <v>112</v>
      </c>
      <c r="F50" t="s">
        <v>118</v>
      </c>
    </row>
    <row r="51" spans="1:28" x14ac:dyDescent="0.2">
      <c r="A51" t="s">
        <v>117</v>
      </c>
      <c r="B51" t="s">
        <v>104</v>
      </c>
      <c r="D51">
        <v>10.699</v>
      </c>
      <c r="F51">
        <f>D51*40</f>
        <v>427.96</v>
      </c>
      <c r="H51" t="s">
        <v>95</v>
      </c>
      <c r="I51">
        <f>I46*400</f>
        <v>58.713013333333329</v>
      </c>
      <c r="K51">
        <v>1.425</v>
      </c>
    </row>
    <row r="52" spans="1:28" x14ac:dyDescent="0.2">
      <c r="A52" t="s">
        <v>52</v>
      </c>
      <c r="B52" t="s">
        <v>104</v>
      </c>
      <c r="D52">
        <f>149.7</f>
        <v>149.69999999999999</v>
      </c>
      <c r="F52">
        <f>D52*40</f>
        <v>5988</v>
      </c>
      <c r="H52" t="s">
        <v>95</v>
      </c>
      <c r="I52">
        <f>J46*400</f>
        <v>732.67920000000004</v>
      </c>
      <c r="K52">
        <v>2.21</v>
      </c>
      <c r="AB52">
        <f>10*0.44</f>
        <v>4.4000000000000004</v>
      </c>
    </row>
    <row r="53" spans="1:28" x14ac:dyDescent="0.2">
      <c r="D53" t="s">
        <v>125</v>
      </c>
      <c r="G53" t="s">
        <v>126</v>
      </c>
    </row>
    <row r="54" spans="1:28" x14ac:dyDescent="0.2">
      <c r="A54" t="s">
        <v>122</v>
      </c>
      <c r="B54" t="s">
        <v>50</v>
      </c>
      <c r="C54" t="s">
        <v>104</v>
      </c>
      <c r="D54">
        <f>F24-F51</f>
        <v>64.600000000000023</v>
      </c>
      <c r="E54" t="s">
        <v>95</v>
      </c>
      <c r="F54">
        <f>L24-I51</f>
        <v>10.886986666666665</v>
      </c>
      <c r="G54">
        <f>F54/14</f>
        <v>0.77764190476190465</v>
      </c>
    </row>
    <row r="55" spans="1:28" x14ac:dyDescent="0.2">
      <c r="A55" t="s">
        <v>123</v>
      </c>
      <c r="B55" t="s">
        <v>52</v>
      </c>
      <c r="C55" t="s">
        <v>124</v>
      </c>
      <c r="D55">
        <f>F25-F52</f>
        <v>-1709.6000000000004</v>
      </c>
      <c r="E55" t="s">
        <v>95</v>
      </c>
      <c r="F55">
        <f>L25-I52</f>
        <v>-188.67920000000004</v>
      </c>
      <c r="G55">
        <f>F55/14</f>
        <v>-13.477085714285717</v>
      </c>
    </row>
    <row r="58" spans="1:28" x14ac:dyDescent="0.2">
      <c r="A58" t="s">
        <v>81</v>
      </c>
      <c r="B58" t="s">
        <v>127</v>
      </c>
    </row>
    <row r="59" spans="1:28" x14ac:dyDescent="0.2">
      <c r="A59" t="s">
        <v>117</v>
      </c>
      <c r="B59" t="s">
        <v>95</v>
      </c>
      <c r="C59" t="s">
        <v>129</v>
      </c>
      <c r="D59" t="s">
        <v>104</v>
      </c>
      <c r="E59" t="s">
        <v>131</v>
      </c>
    </row>
    <row r="60" spans="1:28" x14ac:dyDescent="0.2">
      <c r="A60" t="s">
        <v>128</v>
      </c>
      <c r="B60" t="s">
        <v>95</v>
      </c>
      <c r="C60" t="s">
        <v>130</v>
      </c>
      <c r="D60" t="s">
        <v>104</v>
      </c>
      <c r="E60" t="s">
        <v>132</v>
      </c>
    </row>
    <row r="62" spans="1:28" x14ac:dyDescent="0.2">
      <c r="A62" t="s">
        <v>133</v>
      </c>
      <c r="B62">
        <v>1976</v>
      </c>
      <c r="C62">
        <v>1988</v>
      </c>
      <c r="D62">
        <v>2002</v>
      </c>
      <c r="G62">
        <v>1976</v>
      </c>
      <c r="H62">
        <v>1988</v>
      </c>
      <c r="I62">
        <v>2002</v>
      </c>
    </row>
    <row r="63" spans="1:28" x14ac:dyDescent="0.2">
      <c r="A63" t="s">
        <v>95</v>
      </c>
      <c r="B63" t="s">
        <v>134</v>
      </c>
      <c r="C63">
        <v>69.599999999999994</v>
      </c>
      <c r="D63">
        <v>58.7</v>
      </c>
      <c r="E63" t="s">
        <v>135</v>
      </c>
      <c r="F63" t="s">
        <v>104</v>
      </c>
      <c r="G63">
        <v>345</v>
      </c>
      <c r="H63">
        <v>544</v>
      </c>
      <c r="I63">
        <v>732</v>
      </c>
    </row>
    <row r="64" spans="1:28" x14ac:dyDescent="0.2">
      <c r="B64">
        <f>79.2*0.47</f>
        <v>37.223999999999997</v>
      </c>
      <c r="C64">
        <f>0.054*C63</f>
        <v>3.7583999999999995</v>
      </c>
      <c r="D64">
        <f>0.119*D63</f>
        <v>6.9852999999999996</v>
      </c>
      <c r="E64" t="s">
        <v>86</v>
      </c>
      <c r="G64">
        <f>0.459*G63</f>
        <v>158.35500000000002</v>
      </c>
      <c r="H64">
        <f>0.0837*H63</f>
        <v>45.532799999999995</v>
      </c>
      <c r="I64">
        <v>115</v>
      </c>
    </row>
    <row r="65" spans="1:5" x14ac:dyDescent="0.2">
      <c r="A65" t="s">
        <v>120</v>
      </c>
      <c r="B65">
        <v>45.6</v>
      </c>
      <c r="C65">
        <v>42.26</v>
      </c>
      <c r="D65">
        <v>28</v>
      </c>
      <c r="E65" t="s">
        <v>135</v>
      </c>
    </row>
    <row r="66" spans="1:5" x14ac:dyDescent="0.2">
      <c r="A66" t="s">
        <v>75</v>
      </c>
      <c r="B66">
        <v>8.1999999999999993</v>
      </c>
      <c r="C66">
        <v>3</v>
      </c>
      <c r="D66">
        <v>2.42</v>
      </c>
      <c r="E66" t="s">
        <v>86</v>
      </c>
    </row>
    <row r="69" spans="1:5" x14ac:dyDescent="0.2">
      <c r="A69" t="s">
        <v>1</v>
      </c>
      <c r="C69">
        <v>1938</v>
      </c>
      <c r="D69" t="s">
        <v>160</v>
      </c>
      <c r="E69">
        <v>1976</v>
      </c>
    </row>
    <row r="70" spans="1:5" x14ac:dyDescent="0.2">
      <c r="C70" t="s">
        <v>158</v>
      </c>
      <c r="D70">
        <v>20</v>
      </c>
      <c r="E70">
        <v>30</v>
      </c>
    </row>
    <row r="71" spans="1:5" x14ac:dyDescent="0.2">
      <c r="C71" t="s">
        <v>159</v>
      </c>
      <c r="D71" t="s">
        <v>161</v>
      </c>
      <c r="E71" t="s">
        <v>163</v>
      </c>
    </row>
    <row r="72" spans="1:5" x14ac:dyDescent="0.2">
      <c r="D72" t="s">
        <v>162</v>
      </c>
      <c r="E72" t="s">
        <v>164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D12A-16B7-9642-AC86-FC80EB68B8D1}">
  <dimension ref="A1:G13"/>
  <sheetViews>
    <sheetView workbookViewId="0">
      <selection activeCell="B11" sqref="B11:B13"/>
    </sheetView>
  </sheetViews>
  <sheetFormatPr baseColWidth="10" defaultRowHeight="15" x14ac:dyDescent="0.2"/>
  <sheetData>
    <row r="1" spans="1:7" x14ac:dyDescent="0.2">
      <c r="A1" t="s">
        <v>179</v>
      </c>
      <c r="B1" t="s">
        <v>180</v>
      </c>
      <c r="C1">
        <v>1988</v>
      </c>
      <c r="D1">
        <v>2002</v>
      </c>
      <c r="E1">
        <v>2009</v>
      </c>
      <c r="F1">
        <v>2014</v>
      </c>
      <c r="G1">
        <v>2018</v>
      </c>
    </row>
    <row r="2" spans="1:7" x14ac:dyDescent="0.2">
      <c r="A2" t="s">
        <v>171</v>
      </c>
      <c r="B2" t="s">
        <v>95</v>
      </c>
      <c r="C2">
        <v>3.1999999999999997</v>
      </c>
      <c r="D2">
        <v>5.4033333333333333</v>
      </c>
      <c r="E2">
        <v>3.0133333333333336</v>
      </c>
      <c r="F2">
        <v>3.0650000000000004</v>
      </c>
      <c r="G2">
        <v>3.0666666666666664</v>
      </c>
    </row>
    <row r="3" spans="1:7" x14ac:dyDescent="0.2">
      <c r="A3" t="s">
        <v>171</v>
      </c>
      <c r="B3" t="s">
        <v>172</v>
      </c>
      <c r="C3">
        <v>5</v>
      </c>
      <c r="D3">
        <v>11.683333333333332</v>
      </c>
      <c r="E3">
        <v>5.5933333333333337</v>
      </c>
      <c r="F3">
        <v>4.5333333333333332</v>
      </c>
      <c r="G3">
        <v>4.833333333333333</v>
      </c>
    </row>
    <row r="4" spans="1:7" x14ac:dyDescent="0.2">
      <c r="A4" t="s">
        <v>171</v>
      </c>
      <c r="B4" t="s">
        <v>173</v>
      </c>
      <c r="C4">
        <v>6.9333333333333336</v>
      </c>
      <c r="D4">
        <v>16.766666666666669</v>
      </c>
      <c r="E4">
        <v>7.8433333333333337</v>
      </c>
      <c r="F4">
        <v>5.8999999999999995</v>
      </c>
      <c r="G4">
        <v>6.6333333333333329</v>
      </c>
    </row>
    <row r="5" spans="1:7" x14ac:dyDescent="0.2">
      <c r="A5" t="s">
        <v>178</v>
      </c>
      <c r="B5" t="s">
        <v>95</v>
      </c>
      <c r="C5">
        <v>42.266666666666673</v>
      </c>
      <c r="D5">
        <v>27.966666666666669</v>
      </c>
      <c r="E5">
        <v>35.766666666666666</v>
      </c>
      <c r="F5">
        <v>37</v>
      </c>
      <c r="G5">
        <v>36</v>
      </c>
    </row>
    <row r="6" spans="1:7" x14ac:dyDescent="0.2">
      <c r="A6" t="s">
        <v>178</v>
      </c>
      <c r="B6" t="s">
        <v>172</v>
      </c>
      <c r="C6">
        <v>39.833333333333336</v>
      </c>
      <c r="D6">
        <v>22.599999999999998</v>
      </c>
      <c r="E6">
        <v>31.133333333333329</v>
      </c>
      <c r="F6">
        <v>34</v>
      </c>
      <c r="G6">
        <v>35.366666666666667</v>
      </c>
    </row>
    <row r="7" spans="1:7" x14ac:dyDescent="0.2">
      <c r="A7" t="s">
        <v>178</v>
      </c>
      <c r="B7" t="s">
        <v>173</v>
      </c>
      <c r="C7">
        <v>36.033333333333339</v>
      </c>
      <c r="D7">
        <v>16.8</v>
      </c>
      <c r="E7">
        <v>27.066666666666666</v>
      </c>
      <c r="F7">
        <v>29.666666666666668</v>
      </c>
      <c r="G7">
        <v>32.233333333333334</v>
      </c>
    </row>
    <row r="8" spans="1:7" x14ac:dyDescent="0.2">
      <c r="A8" t="s">
        <v>176</v>
      </c>
      <c r="B8" t="s">
        <v>95</v>
      </c>
      <c r="C8">
        <v>2.4833333333333334</v>
      </c>
      <c r="D8">
        <v>1.26</v>
      </c>
      <c r="E8">
        <v>1.4466666666666665</v>
      </c>
      <c r="F8">
        <v>1.5666666666666667</v>
      </c>
      <c r="G8">
        <v>1.6333333333333335</v>
      </c>
    </row>
    <row r="9" spans="1:7" x14ac:dyDescent="0.2">
      <c r="A9" t="s">
        <v>176</v>
      </c>
      <c r="B9" t="s">
        <v>172</v>
      </c>
      <c r="C9">
        <v>2.3366666666666664</v>
      </c>
      <c r="D9">
        <v>0.93333333333333324</v>
      </c>
      <c r="E9">
        <v>1.3666666666666665</v>
      </c>
      <c r="F9">
        <v>1.5666666666666667</v>
      </c>
      <c r="G9">
        <v>1.9000000000000001</v>
      </c>
    </row>
    <row r="10" spans="1:7" x14ac:dyDescent="0.2">
      <c r="A10" t="s">
        <v>176</v>
      </c>
      <c r="B10" t="s">
        <v>173</v>
      </c>
      <c r="C10">
        <v>1.9333333333333336</v>
      </c>
      <c r="D10">
        <v>0.66</v>
      </c>
      <c r="E10">
        <v>1.1933333333333334</v>
      </c>
      <c r="F10">
        <v>1.6</v>
      </c>
      <c r="G10">
        <v>1.8666666666666669</v>
      </c>
    </row>
    <row r="11" spans="1:7" x14ac:dyDescent="0.2">
      <c r="A11" t="s">
        <v>177</v>
      </c>
      <c r="B11" t="s">
        <v>95</v>
      </c>
      <c r="C11">
        <v>74.888590604026859</v>
      </c>
      <c r="D11">
        <v>97.661375661375672</v>
      </c>
      <c r="E11">
        <v>108.78341013824885</v>
      </c>
      <c r="F11">
        <v>103.91489361702128</v>
      </c>
      <c r="G11">
        <v>96.979591836734684</v>
      </c>
    </row>
    <row r="12" spans="1:7" x14ac:dyDescent="0.2">
      <c r="A12" t="s">
        <v>177</v>
      </c>
      <c r="B12" t="s">
        <v>172</v>
      </c>
      <c r="C12">
        <v>75.007132667617697</v>
      </c>
      <c r="D12">
        <v>106.54285714285714</v>
      </c>
      <c r="E12">
        <v>100.23414634146341</v>
      </c>
      <c r="F12">
        <v>95.489361702127681</v>
      </c>
      <c r="G12">
        <v>81.901754385964907</v>
      </c>
    </row>
    <row r="13" spans="1:7" x14ac:dyDescent="0.2">
      <c r="A13" t="s">
        <v>177</v>
      </c>
      <c r="B13" t="s">
        <v>173</v>
      </c>
      <c r="C13">
        <v>82.006896551724154</v>
      </c>
      <c r="D13">
        <v>112.00000000000001</v>
      </c>
      <c r="E13">
        <v>99.798882681564251</v>
      </c>
      <c r="F13">
        <v>81.583333333333343</v>
      </c>
      <c r="G13">
        <v>75.978571428571428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C1EA-921B-8144-A4C4-7BECDC4BA40D}">
  <dimension ref="A1:H17"/>
  <sheetViews>
    <sheetView tabSelected="1" workbookViewId="0">
      <selection activeCell="E25" sqref="E25"/>
    </sheetView>
  </sheetViews>
  <sheetFormatPr baseColWidth="10" defaultRowHeight="15" x14ac:dyDescent="0.2"/>
  <sheetData>
    <row r="1" spans="1:8" x14ac:dyDescent="0.2">
      <c r="A1" t="s">
        <v>180</v>
      </c>
      <c r="B1" t="s">
        <v>185</v>
      </c>
      <c r="C1">
        <v>1976</v>
      </c>
      <c r="D1">
        <v>1988</v>
      </c>
      <c r="E1">
        <v>2002</v>
      </c>
      <c r="F1">
        <v>2009</v>
      </c>
      <c r="G1">
        <v>2014</v>
      </c>
      <c r="H1">
        <v>2018</v>
      </c>
    </row>
    <row r="2" spans="1:8" x14ac:dyDescent="0.2">
      <c r="A2" t="s">
        <v>95</v>
      </c>
      <c r="B2" t="s">
        <v>181</v>
      </c>
      <c r="C2">
        <v>10276.320000000002</v>
      </c>
      <c r="D2">
        <v>9402.264000000001</v>
      </c>
      <c r="E2">
        <v>10505.391208888888</v>
      </c>
      <c r="F2">
        <v>7492.6493155555563</v>
      </c>
      <c r="G2">
        <v>7883.9156000000021</v>
      </c>
      <c r="H2">
        <v>7675.0079999999998</v>
      </c>
    </row>
    <row r="3" spans="1:8" x14ac:dyDescent="0.2">
      <c r="A3" t="s">
        <v>172</v>
      </c>
      <c r="B3" t="s">
        <v>181</v>
      </c>
      <c r="C3">
        <v>17703.900000000001</v>
      </c>
      <c r="D3">
        <v>20761.199999999997</v>
      </c>
      <c r="E3">
        <v>27534.438799999996</v>
      </c>
      <c r="F3">
        <v>18159.22650666667</v>
      </c>
      <c r="G3">
        <v>16073.023999999996</v>
      </c>
      <c r="H3">
        <v>17825.507333333331</v>
      </c>
    </row>
    <row r="4" spans="1:8" x14ac:dyDescent="0.2">
      <c r="A4" t="s">
        <v>173</v>
      </c>
      <c r="B4" t="s">
        <v>181</v>
      </c>
      <c r="C4">
        <v>33450.18</v>
      </c>
      <c r="D4">
        <v>43420.647111111124</v>
      </c>
      <c r="E4">
        <v>48955.984000000011</v>
      </c>
      <c r="F4">
        <v>36896.504088888891</v>
      </c>
      <c r="G4">
        <v>30420.793333333331</v>
      </c>
      <c r="H4">
        <v>37160.950444444446</v>
      </c>
    </row>
    <row r="5" spans="1:8" x14ac:dyDescent="0.2">
      <c r="A5" t="s">
        <v>104</v>
      </c>
      <c r="B5" t="s">
        <v>181</v>
      </c>
      <c r="C5">
        <v>61430.400000000001</v>
      </c>
      <c r="D5">
        <v>73584.111111111124</v>
      </c>
      <c r="E5">
        <v>86995.814008888905</v>
      </c>
      <c r="F5">
        <v>62548.379911111115</v>
      </c>
      <c r="G5">
        <v>54377.732933333333</v>
      </c>
      <c r="H5">
        <v>62661.465777777776</v>
      </c>
    </row>
    <row r="6" spans="1:8" x14ac:dyDescent="0.2">
      <c r="A6" t="s">
        <v>95</v>
      </c>
      <c r="B6" t="s">
        <v>184</v>
      </c>
      <c r="C6">
        <v>485.58400000000006</v>
      </c>
      <c r="D6">
        <v>412.14441296444375</v>
      </c>
      <c r="E6">
        <v>486.65158065672091</v>
      </c>
      <c r="F6">
        <v>347.08937156346644</v>
      </c>
      <c r="G6">
        <v>365.21438490151905</v>
      </c>
      <c r="H6">
        <v>355.53695245472147</v>
      </c>
    </row>
    <row r="7" spans="1:8" x14ac:dyDescent="0.2">
      <c r="A7" t="s">
        <v>172</v>
      </c>
      <c r="B7" t="s">
        <v>184</v>
      </c>
      <c r="C7">
        <v>1232.6171800000002</v>
      </c>
      <c r="D7">
        <v>947.31415167698356</v>
      </c>
      <c r="E7">
        <v>1275.4524223138571</v>
      </c>
      <c r="F7">
        <v>841.17310701367956</v>
      </c>
      <c r="G7">
        <v>744.53587173560834</v>
      </c>
      <c r="H7">
        <v>825.71454142996458</v>
      </c>
    </row>
    <row r="8" spans="1:8" x14ac:dyDescent="0.2">
      <c r="A8" t="s">
        <v>173</v>
      </c>
      <c r="B8" t="s">
        <v>184</v>
      </c>
      <c r="C8">
        <v>2129.4360000000001</v>
      </c>
      <c r="D8">
        <v>2024.7282910093249</v>
      </c>
      <c r="E8">
        <v>2428.9430074162615</v>
      </c>
      <c r="F8">
        <v>1830.6139164685596</v>
      </c>
      <c r="G8">
        <v>1509.3226038936361</v>
      </c>
      <c r="H8">
        <v>1843.7343784362608</v>
      </c>
    </row>
    <row r="9" spans="1:8" x14ac:dyDescent="0.2">
      <c r="A9" t="s">
        <v>104</v>
      </c>
      <c r="B9" t="s">
        <v>184</v>
      </c>
      <c r="C9">
        <v>3847.6371800000006</v>
      </c>
      <c r="D9">
        <v>3384.1868556507525</v>
      </c>
      <c r="E9">
        <v>4191.0470103868392</v>
      </c>
      <c r="F9">
        <v>3018.8763950457055</v>
      </c>
      <c r="G9">
        <v>2619.0728605307636</v>
      </c>
      <c r="H9">
        <v>3024.9858723209472</v>
      </c>
    </row>
    <row r="10" spans="1:8" x14ac:dyDescent="0.2">
      <c r="A10" t="s">
        <v>95</v>
      </c>
      <c r="B10" t="s">
        <v>182</v>
      </c>
      <c r="D10">
        <v>4136.9961600000006</v>
      </c>
      <c r="E10">
        <v>4622.372131911111</v>
      </c>
      <c r="F10">
        <v>3296.7656988444446</v>
      </c>
      <c r="G10">
        <v>3468.922864000001</v>
      </c>
      <c r="H10">
        <v>3377.0035199999998</v>
      </c>
    </row>
    <row r="11" spans="1:8" x14ac:dyDescent="0.2">
      <c r="A11" t="s">
        <v>172</v>
      </c>
      <c r="B11" t="s">
        <v>182</v>
      </c>
      <c r="D11">
        <v>9134.9279999999981</v>
      </c>
      <c r="E11">
        <v>12115.153071999999</v>
      </c>
      <c r="F11">
        <v>7990.0596629333349</v>
      </c>
      <c r="G11">
        <v>7072.1305599999978</v>
      </c>
      <c r="H11">
        <v>7843.2232266666661</v>
      </c>
    </row>
    <row r="12" spans="1:8" x14ac:dyDescent="0.2">
      <c r="A12" t="s">
        <v>173</v>
      </c>
      <c r="B12" t="s">
        <v>182</v>
      </c>
      <c r="D12">
        <v>19105.084728888894</v>
      </c>
      <c r="E12">
        <v>21540.632960000006</v>
      </c>
      <c r="F12">
        <v>16234.461799111112</v>
      </c>
      <c r="G12">
        <v>13385.149066666665</v>
      </c>
      <c r="H12">
        <v>16350.818195555557</v>
      </c>
    </row>
    <row r="13" spans="1:8" x14ac:dyDescent="0.2">
      <c r="A13" t="s">
        <v>104</v>
      </c>
      <c r="B13" t="s">
        <v>182</v>
      </c>
      <c r="D13">
        <v>32377.008888888893</v>
      </c>
      <c r="E13">
        <v>38278.158163911117</v>
      </c>
      <c r="F13">
        <v>27521.287160888889</v>
      </c>
      <c r="G13">
        <v>23926.202490666667</v>
      </c>
      <c r="H13">
        <v>27571.044942222223</v>
      </c>
    </row>
    <row r="14" spans="1:8" x14ac:dyDescent="0.2">
      <c r="A14" t="s">
        <v>95</v>
      </c>
      <c r="B14" t="s">
        <v>183</v>
      </c>
      <c r="C14">
        <v>55.18</v>
      </c>
      <c r="D14">
        <v>55.245226666666667</v>
      </c>
      <c r="E14">
        <v>47.330606399999994</v>
      </c>
      <c r="F14">
        <v>35.676420266666661</v>
      </c>
      <c r="G14">
        <v>39.298204000000013</v>
      </c>
      <c r="H14">
        <v>40.992746666666669</v>
      </c>
    </row>
    <row r="15" spans="1:8" x14ac:dyDescent="0.2">
      <c r="A15" t="s">
        <v>172</v>
      </c>
      <c r="B15" t="s">
        <v>183</v>
      </c>
      <c r="C15">
        <v>105.986</v>
      </c>
      <c r="D15">
        <v>121.83380000000001</v>
      </c>
      <c r="E15">
        <v>113.71154666666666</v>
      </c>
      <c r="F15">
        <v>79.713949333333332</v>
      </c>
      <c r="G15">
        <v>74.061973333333341</v>
      </c>
      <c r="H15">
        <v>95.763800000000003</v>
      </c>
    </row>
    <row r="16" spans="1:8" x14ac:dyDescent="0.2">
      <c r="A16" t="s">
        <v>173</v>
      </c>
      <c r="B16" t="s">
        <v>183</v>
      </c>
      <c r="C16">
        <v>145.35399999999998</v>
      </c>
      <c r="D16">
        <v>232.96924444444454</v>
      </c>
      <c r="E16">
        <v>192.32708000000008</v>
      </c>
      <c r="F16">
        <v>162.67177911111114</v>
      </c>
      <c r="G16">
        <v>164.06720000000001</v>
      </c>
      <c r="H16">
        <v>215.20302222222227</v>
      </c>
    </row>
    <row r="17" spans="1:8" x14ac:dyDescent="0.2">
      <c r="A17" t="s">
        <v>104</v>
      </c>
      <c r="B17" t="s">
        <v>183</v>
      </c>
      <c r="C17">
        <v>306.52</v>
      </c>
      <c r="D17">
        <v>410.04827111111121</v>
      </c>
      <c r="E17">
        <v>353.36923306666677</v>
      </c>
      <c r="F17">
        <v>278.06214871111115</v>
      </c>
      <c r="G17">
        <v>277.42737733333337</v>
      </c>
      <c r="H17">
        <v>351.95956888888895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 Sand-Jensen</dc:creator>
  <cp:lastModifiedBy>Jonas Stage Sø</cp:lastModifiedBy>
  <dcterms:created xsi:type="dcterms:W3CDTF">2024-11-27T14:34:32Z</dcterms:created>
  <dcterms:modified xsi:type="dcterms:W3CDTF">2025-01-22T11:11:58Z</dcterms:modified>
</cp:coreProperties>
</file>