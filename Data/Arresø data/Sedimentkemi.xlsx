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Arresø1/Data/Arresø data/"/>
    </mc:Choice>
  </mc:AlternateContent>
  <xr:revisionPtr revIDLastSave="52" documentId="8_{8F678C75-76BC-5B41-A3D0-CB9F99BEE1BA}" xr6:coauthVersionLast="47" xr6:coauthVersionMax="47" xr10:uidLastSave="{7D045A2E-4130-1C4E-B18D-9085B9AC7938}"/>
  <bookViews>
    <workbookView xWindow="780" yWindow="1000" windowWidth="27640" windowHeight="16440" xr2:uid="{F6F48C3D-52B7-2749-A4DB-7F427CB16A0E}"/>
  </bookViews>
  <sheets>
    <sheet name="Sheet1" sheetId="1" r:id="rId1"/>
    <sheet name="Sheet4" sheetId="4" r:id="rId2"/>
  </sheets>
  <definedNames>
    <definedName name="_xlnm._FilterDatabase" localSheetId="0" hidden="1">Sheet1!$A$1:$AL$598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41" i="1"/>
  <c r="J9" i="1"/>
  <c r="J239" i="1"/>
  <c r="J11" i="1"/>
  <c r="J12" i="1"/>
  <c r="J13" i="1"/>
  <c r="J14" i="1"/>
  <c r="J15" i="1"/>
  <c r="J16" i="1"/>
  <c r="J17" i="1"/>
  <c r="J18" i="1"/>
  <c r="J568" i="1"/>
  <c r="J20" i="1"/>
  <c r="J21" i="1"/>
  <c r="J22" i="1"/>
  <c r="J23" i="1"/>
  <c r="J245" i="1"/>
  <c r="J25" i="1"/>
  <c r="J26" i="1"/>
  <c r="J27" i="1"/>
  <c r="J28" i="1"/>
  <c r="J29" i="1"/>
  <c r="J395" i="1"/>
  <c r="J31" i="1"/>
  <c r="J32" i="1"/>
  <c r="J240" i="1"/>
  <c r="J34" i="1"/>
  <c r="J35" i="1"/>
  <c r="J36" i="1"/>
  <c r="J37" i="1"/>
  <c r="J283" i="1"/>
  <c r="J39" i="1"/>
  <c r="J40" i="1"/>
  <c r="J41" i="1"/>
  <c r="J42" i="1"/>
  <c r="J43" i="1"/>
  <c r="J44" i="1"/>
  <c r="J45" i="1"/>
  <c r="J46" i="1"/>
  <c r="J47" i="1"/>
  <c r="J242" i="1"/>
  <c r="J49" i="1"/>
  <c r="J50" i="1"/>
  <c r="J51" i="1"/>
  <c r="J96" i="1"/>
  <c r="J286" i="1"/>
  <c r="J54" i="1"/>
  <c r="J55" i="1"/>
  <c r="J56" i="1"/>
  <c r="J57" i="1"/>
  <c r="J302" i="1"/>
  <c r="J59" i="1"/>
  <c r="J60" i="1"/>
  <c r="J61" i="1"/>
  <c r="J62" i="1"/>
  <c r="J63" i="1"/>
  <c r="J64" i="1"/>
  <c r="J65" i="1"/>
  <c r="J66" i="1"/>
  <c r="J67" i="1"/>
  <c r="J68" i="1"/>
  <c r="J396" i="1"/>
  <c r="J70" i="1"/>
  <c r="J71" i="1"/>
  <c r="J72" i="1"/>
  <c r="J73" i="1"/>
  <c r="J74" i="1"/>
  <c r="J75" i="1"/>
  <c r="J33" i="1"/>
  <c r="J77" i="1"/>
  <c r="J78" i="1"/>
  <c r="J79" i="1"/>
  <c r="J38" i="1"/>
  <c r="J81" i="1"/>
  <c r="J82" i="1"/>
  <c r="J83" i="1"/>
  <c r="J8" i="1"/>
  <c r="J85" i="1"/>
  <c r="J113" i="1"/>
  <c r="J87" i="1"/>
  <c r="J88" i="1"/>
  <c r="J89" i="1"/>
  <c r="J90" i="1"/>
  <c r="J52" i="1"/>
  <c r="J92" i="1"/>
  <c r="J93" i="1"/>
  <c r="J94" i="1"/>
  <c r="J95" i="1"/>
  <c r="J247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253" i="1"/>
  <c r="J114" i="1"/>
  <c r="J115" i="1"/>
  <c r="J116" i="1"/>
  <c r="J117" i="1"/>
  <c r="J118" i="1"/>
  <c r="J119" i="1"/>
  <c r="J572" i="1"/>
  <c r="J121" i="1"/>
  <c r="J122" i="1"/>
  <c r="J123" i="1"/>
  <c r="J124" i="1"/>
  <c r="J125" i="1"/>
  <c r="J258" i="1"/>
  <c r="J127" i="1"/>
  <c r="J128" i="1"/>
  <c r="J129" i="1"/>
  <c r="J130" i="1"/>
  <c r="J131" i="1"/>
  <c r="J439" i="1"/>
  <c r="J58" i="1"/>
  <c r="J134" i="1"/>
  <c r="J135" i="1"/>
  <c r="J136" i="1"/>
  <c r="J137" i="1"/>
  <c r="J138" i="1"/>
  <c r="J139" i="1"/>
  <c r="J140" i="1"/>
  <c r="J132" i="1"/>
  <c r="J142" i="1"/>
  <c r="J143" i="1"/>
  <c r="J144" i="1"/>
  <c r="J145" i="1"/>
  <c r="J146" i="1"/>
  <c r="J147" i="1"/>
  <c r="J148" i="1"/>
  <c r="J149" i="1"/>
  <c r="J150" i="1"/>
  <c r="J151" i="1"/>
  <c r="J270" i="1"/>
  <c r="J153" i="1"/>
  <c r="J154" i="1"/>
  <c r="J155" i="1"/>
  <c r="J156" i="1"/>
  <c r="J69" i="1"/>
  <c r="J158" i="1"/>
  <c r="J159" i="1"/>
  <c r="J160" i="1"/>
  <c r="J10" i="1"/>
  <c r="J478" i="1"/>
  <c r="J163" i="1"/>
  <c r="J164" i="1"/>
  <c r="J165" i="1"/>
  <c r="J166" i="1"/>
  <c r="J167" i="1"/>
  <c r="J80" i="1"/>
  <c r="J169" i="1"/>
  <c r="J84" i="1"/>
  <c r="J171" i="1"/>
  <c r="J172" i="1"/>
  <c r="J173" i="1"/>
  <c r="J275" i="1"/>
  <c r="J278" i="1"/>
  <c r="J176" i="1"/>
  <c r="J279" i="1"/>
  <c r="J178" i="1"/>
  <c r="J179" i="1"/>
  <c r="J180" i="1"/>
  <c r="J281" i="1"/>
  <c r="J182" i="1"/>
  <c r="J13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86" i="1"/>
  <c r="J200" i="1"/>
  <c r="J304" i="1"/>
  <c r="J202" i="1"/>
  <c r="J288" i="1"/>
  <c r="J91" i="1"/>
  <c r="J205" i="1"/>
  <c r="J406" i="1"/>
  <c r="J19" i="1"/>
  <c r="J208" i="1"/>
  <c r="J209" i="1"/>
  <c r="J120" i="1"/>
  <c r="J126" i="1"/>
  <c r="J212" i="1"/>
  <c r="J213" i="1"/>
  <c r="J214" i="1"/>
  <c r="J215" i="1"/>
  <c r="J24" i="1"/>
  <c r="J217" i="1"/>
  <c r="J218" i="1"/>
  <c r="J219" i="1"/>
  <c r="J30" i="1"/>
  <c r="J221" i="1"/>
  <c r="J222" i="1"/>
  <c r="J296" i="1"/>
  <c r="J224" i="1"/>
  <c r="J225" i="1"/>
  <c r="J226" i="1"/>
  <c r="J299" i="1"/>
  <c r="J228" i="1"/>
  <c r="J229" i="1"/>
  <c r="J230" i="1"/>
  <c r="J479" i="1"/>
  <c r="J232" i="1"/>
  <c r="J233" i="1"/>
  <c r="J234" i="1"/>
  <c r="J235" i="1"/>
  <c r="J152" i="1"/>
  <c r="J237" i="1"/>
  <c r="J238" i="1"/>
  <c r="J481" i="1"/>
  <c r="J141" i="1"/>
  <c r="J249" i="1"/>
  <c r="J157" i="1"/>
  <c r="J243" i="1"/>
  <c r="J244" i="1"/>
  <c r="J252" i="1"/>
  <c r="J246" i="1"/>
  <c r="J497" i="1"/>
  <c r="J248" i="1"/>
  <c r="J161" i="1"/>
  <c r="J250" i="1"/>
  <c r="J251" i="1"/>
  <c r="J255" i="1"/>
  <c r="J416" i="1"/>
  <c r="J254" i="1"/>
  <c r="J312" i="1"/>
  <c r="J256" i="1"/>
  <c r="J257" i="1"/>
  <c r="J313" i="1"/>
  <c r="J259" i="1"/>
  <c r="J260" i="1"/>
  <c r="J261" i="1"/>
  <c r="J262" i="1"/>
  <c r="J263" i="1"/>
  <c r="J426" i="1"/>
  <c r="J265" i="1"/>
  <c r="J266" i="1"/>
  <c r="J267" i="1"/>
  <c r="J268" i="1"/>
  <c r="J306" i="1"/>
  <c r="J309" i="1"/>
  <c r="J271" i="1"/>
  <c r="J272" i="1"/>
  <c r="J174" i="1"/>
  <c r="J274" i="1"/>
  <c r="J48" i="1"/>
  <c r="J276" i="1"/>
  <c r="J277" i="1"/>
  <c r="J264" i="1"/>
  <c r="J428" i="1"/>
  <c r="J280" i="1"/>
  <c r="J183" i="1"/>
  <c r="J282" i="1"/>
  <c r="J317" i="1"/>
  <c r="J284" i="1"/>
  <c r="J285" i="1"/>
  <c r="J500" i="1"/>
  <c r="J287" i="1"/>
  <c r="J430" i="1"/>
  <c r="J289" i="1"/>
  <c r="J290" i="1"/>
  <c r="J291" i="1"/>
  <c r="J292" i="1"/>
  <c r="J293" i="1"/>
  <c r="J294" i="1"/>
  <c r="J295" i="1"/>
  <c r="J53" i="1"/>
  <c r="J297" i="1"/>
  <c r="J298" i="1"/>
  <c r="J325" i="1"/>
  <c r="J300" i="1"/>
  <c r="J301" i="1"/>
  <c r="J327" i="1"/>
  <c r="J303" i="1"/>
  <c r="J203" i="1"/>
  <c r="J305" i="1"/>
  <c r="J204" i="1"/>
  <c r="J307" i="1"/>
  <c r="J308" i="1"/>
  <c r="J311" i="1"/>
  <c r="J310" i="1"/>
  <c r="J334" i="1"/>
  <c r="J315" i="1"/>
  <c r="J206" i="1"/>
  <c r="J314" i="1"/>
  <c r="J207" i="1"/>
  <c r="J162" i="1"/>
  <c r="J347" i="1"/>
  <c r="J318" i="1"/>
  <c r="J319" i="1"/>
  <c r="J320" i="1"/>
  <c r="J321" i="1"/>
  <c r="J322" i="1"/>
  <c r="J323" i="1"/>
  <c r="J316" i="1"/>
  <c r="J351" i="1"/>
  <c r="J326" i="1"/>
  <c r="J76" i="1"/>
  <c r="J269" i="1"/>
  <c r="J329" i="1"/>
  <c r="J330" i="1"/>
  <c r="J331" i="1"/>
  <c r="J332" i="1"/>
  <c r="J333" i="1"/>
  <c r="J168" i="1"/>
  <c r="J335" i="1"/>
  <c r="J506" i="1"/>
  <c r="J216" i="1"/>
  <c r="J338" i="1"/>
  <c r="J339" i="1"/>
  <c r="J340" i="1"/>
  <c r="J341" i="1"/>
  <c r="J342" i="1"/>
  <c r="J343" i="1"/>
  <c r="J344" i="1"/>
  <c r="J345" i="1"/>
  <c r="J346" i="1"/>
  <c r="J438" i="1"/>
  <c r="J348" i="1"/>
  <c r="J349" i="1"/>
  <c r="J223" i="1"/>
  <c r="J509" i="1"/>
  <c r="J227" i="1"/>
  <c r="J353" i="1"/>
  <c r="J170" i="1"/>
  <c r="J273" i="1"/>
  <c r="J356" i="1"/>
  <c r="J357" i="1"/>
  <c r="J358" i="1"/>
  <c r="J363" i="1"/>
  <c r="J360" i="1"/>
  <c r="J361" i="1"/>
  <c r="J362" i="1"/>
  <c r="J376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7" i="1"/>
  <c r="J236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175" i="1"/>
  <c r="J177" i="1"/>
  <c r="J397" i="1"/>
  <c r="J398" i="1"/>
  <c r="J399" i="1"/>
  <c r="J400" i="1"/>
  <c r="J401" i="1"/>
  <c r="J402" i="1"/>
  <c r="J403" i="1"/>
  <c r="J404" i="1"/>
  <c r="J405" i="1"/>
  <c r="J324" i="1"/>
  <c r="J407" i="1"/>
  <c r="J408" i="1"/>
  <c r="J409" i="1"/>
  <c r="J410" i="1"/>
  <c r="J411" i="1"/>
  <c r="J412" i="1"/>
  <c r="J413" i="1"/>
  <c r="J414" i="1"/>
  <c r="J415" i="1"/>
  <c r="J328" i="1"/>
  <c r="J417" i="1"/>
  <c r="J418" i="1"/>
  <c r="J419" i="1"/>
  <c r="J420" i="1"/>
  <c r="J421" i="1"/>
  <c r="J422" i="1"/>
  <c r="J423" i="1"/>
  <c r="J424" i="1"/>
  <c r="J425" i="1"/>
  <c r="J519" i="1"/>
  <c r="J427" i="1"/>
  <c r="J336" i="1"/>
  <c r="J429" i="1"/>
  <c r="J525" i="1"/>
  <c r="J431" i="1"/>
  <c r="J432" i="1"/>
  <c r="J433" i="1"/>
  <c r="J434" i="1"/>
  <c r="J435" i="1"/>
  <c r="J436" i="1"/>
  <c r="J437" i="1"/>
  <c r="J181" i="1"/>
  <c r="J530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337" i="1"/>
  <c r="J542" i="1"/>
  <c r="J480" i="1"/>
  <c r="J350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199" i="1"/>
  <c r="J498" i="1"/>
  <c r="J499" i="1"/>
  <c r="J201" i="1"/>
  <c r="J501" i="1"/>
  <c r="J502" i="1"/>
  <c r="J503" i="1"/>
  <c r="J504" i="1"/>
  <c r="J505" i="1"/>
  <c r="J544" i="1"/>
  <c r="J507" i="1"/>
  <c r="J508" i="1"/>
  <c r="J545" i="1"/>
  <c r="J510" i="1"/>
  <c r="J511" i="1"/>
  <c r="J512" i="1"/>
  <c r="J513" i="1"/>
  <c r="J514" i="1"/>
  <c r="J515" i="1"/>
  <c r="J516" i="1"/>
  <c r="J517" i="1"/>
  <c r="J518" i="1"/>
  <c r="J352" i="1"/>
  <c r="J520" i="1"/>
  <c r="J521" i="1"/>
  <c r="J522" i="1"/>
  <c r="J523" i="1"/>
  <c r="J524" i="1"/>
  <c r="J210" i="1"/>
  <c r="J526" i="1"/>
  <c r="J527" i="1"/>
  <c r="J528" i="1"/>
  <c r="J529" i="1"/>
  <c r="J354" i="1"/>
  <c r="J531" i="1"/>
  <c r="J532" i="1"/>
  <c r="J533" i="1"/>
  <c r="J534" i="1"/>
  <c r="J535" i="1"/>
  <c r="J536" i="1"/>
  <c r="J537" i="1"/>
  <c r="J538" i="1"/>
  <c r="J539" i="1"/>
  <c r="J540" i="1"/>
  <c r="J541" i="1"/>
  <c r="J211" i="1"/>
  <c r="J543" i="1"/>
  <c r="J550" i="1"/>
  <c r="J355" i="1"/>
  <c r="J546" i="1"/>
  <c r="J547" i="1"/>
  <c r="J548" i="1"/>
  <c r="J549" i="1"/>
  <c r="J22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359" i="1"/>
  <c r="J564" i="1"/>
  <c r="J565" i="1"/>
  <c r="J566" i="1"/>
  <c r="J567" i="1"/>
  <c r="J231" i="1"/>
  <c r="J569" i="1"/>
  <c r="J570" i="1"/>
  <c r="J571" i="1"/>
  <c r="J563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2" i="1"/>
</calcChain>
</file>

<file path=xl/sharedStrings.xml><?xml version="1.0" encoding="utf-8"?>
<sst xmlns="http://schemas.openxmlformats.org/spreadsheetml/2006/main" count="3043" uniqueCount="56">
  <si>
    <t>Stedtekst</t>
  </si>
  <si>
    <t>Kommune</t>
  </si>
  <si>
    <t>Dato</t>
  </si>
  <si>
    <t>Målested, x-koordinat</t>
  </si>
  <si>
    <t>Målested, y-koordinat</t>
  </si>
  <si>
    <t>Prøvetagning</t>
  </si>
  <si>
    <t>Prøve</t>
  </si>
  <si>
    <t>Sedimentlag-fra (cm)</t>
  </si>
  <si>
    <t>Sedimentlag-til (cm)</t>
  </si>
  <si>
    <t>Stofparameter</t>
  </si>
  <si>
    <t>Resultat-attribut</t>
  </si>
  <si>
    <t>Resultat</t>
  </si>
  <si>
    <t>Enhed</t>
  </si>
  <si>
    <t>ARRESØ ST B</t>
  </si>
  <si>
    <t>Gribskov</t>
  </si>
  <si>
    <t>Jern</t>
  </si>
  <si>
    <t> =</t>
  </si>
  <si>
    <t>g/kg TS</t>
  </si>
  <si>
    <t>ARRESØ ST A</t>
  </si>
  <si>
    <t>Halsnæs</t>
  </si>
  <si>
    <t>Calcium</t>
  </si>
  <si>
    <t>ARRESØ ST C</t>
  </si>
  <si>
    <t>Tørstof,total</t>
  </si>
  <si>
    <t>pct VV</t>
  </si>
  <si>
    <t>Nitrogen,total N</t>
  </si>
  <si>
    <t>Glødetab, total</t>
  </si>
  <si>
    <t>pct TS</t>
  </si>
  <si>
    <t>Phosphor, total-P</t>
  </si>
  <si>
    <t>Phosphor, Ca-adsorberet</t>
  </si>
  <si>
    <t>Phosphor, Al-adsorberet</t>
  </si>
  <si>
    <t>Adsorberet P</t>
  </si>
  <si>
    <t>Organisk bundet P</t>
  </si>
  <si>
    <t>Phosphor, Fe-adsorberet</t>
  </si>
  <si>
    <t>&lt;</t>
  </si>
  <si>
    <t>1993</t>
  </si>
  <si>
    <t>1997</t>
  </si>
  <si>
    <t>2002</t>
  </si>
  <si>
    <t>2009</t>
  </si>
  <si>
    <t>2014</t>
  </si>
  <si>
    <t>2018</t>
  </si>
  <si>
    <t>Average of Resultat</t>
  </si>
  <si>
    <t>Sediment-dybde</t>
  </si>
  <si>
    <t>0-2</t>
  </si>
  <si>
    <t>10-20</t>
  </si>
  <si>
    <t>2-5</t>
  </si>
  <si>
    <t>20-30</t>
  </si>
  <si>
    <t>30-38</t>
  </si>
  <si>
    <t>30-39</t>
  </si>
  <si>
    <t>30-41</t>
  </si>
  <si>
    <t>30-43</t>
  </si>
  <si>
    <t>30-45</t>
  </si>
  <si>
    <t>30-48</t>
  </si>
  <si>
    <t>30-49</t>
  </si>
  <si>
    <t>30-50</t>
  </si>
  <si>
    <t>5-10</t>
  </si>
  <si>
    <t>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</si>
</sst>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s Stage Sø" refreshedDate="45672.428852662037" createdVersion="8" refreshedVersion="8" minRefreshableVersion="3" recordCount="597" xr:uid="{52A61986-516C-9741-9BD4-8947B26568D9}">
  <cacheSource type="worksheet">
    <worksheetSource ref="A1:N598" sheet="Sheet1"/>
  </cacheSource>
  <cacheFields count="17">
    <cacheField name="Stedtekst" numFmtId="0">
      <sharedItems count="3">
        <s v="ARRESØ ST A"/>
        <s v="ARRESØ ST C"/>
        <s v="ARRESØ ST B"/>
      </sharedItems>
    </cacheField>
    <cacheField name="Kommune" numFmtId="0">
      <sharedItems/>
    </cacheField>
    <cacheField name="Dato" numFmtId="164">
      <sharedItems containsSemiMixedTypes="0" containsNonDate="0" containsDate="1" containsString="0" minDate="1993-12-27T00:00:00" maxDate="2018-11-09T00:00:00" count="6">
        <d v="1993-12-27T00:00:00"/>
        <d v="1997-11-11T00:00:00"/>
        <d v="2002-11-05T00:00:00"/>
        <d v="2009-11-11T00:00:00"/>
        <d v="2014-11-11T00:00:00"/>
        <d v="2018-11-08T00:00:00"/>
      </sharedItems>
      <fieldGroup par="16"/>
    </cacheField>
    <cacheField name="Målested, x-koordinat" numFmtId="0">
      <sharedItems containsSemiMixedTypes="0" containsString="0" containsNumber="1" containsInteger="1" minValue="692735" maxValue="695956"/>
    </cacheField>
    <cacheField name="Målested, y-koordinat" numFmtId="0">
      <sharedItems containsSemiMixedTypes="0" containsString="0" containsNumber="1" containsInteger="1" minValue="6208568" maxValue="6209960"/>
    </cacheField>
    <cacheField name="Prøvetagning" numFmtId="0">
      <sharedItems containsSemiMixedTypes="0" containsString="0" containsNumber="1" containsInteger="1" minValue="1" maxValue="2" count="2">
        <n v="2"/>
        <n v="1"/>
      </sharedItems>
    </cacheField>
    <cacheField name="Prøve" numFmtId="0">
      <sharedItems containsSemiMixedTypes="0" containsString="0" containsNumber="1" containsInteger="1" minValue="1" maxValue="6"/>
    </cacheField>
    <cacheField name="Sedimentlag-fra (cm)" numFmtId="0">
      <sharedItems containsSemiMixedTypes="0" containsString="0" containsNumber="1" containsInteger="1" minValue="0" maxValue="30" count="6">
        <n v="5"/>
        <n v="10"/>
        <n v="0"/>
        <n v="30"/>
        <n v="2"/>
        <n v="20"/>
      </sharedItems>
    </cacheField>
    <cacheField name="Sedimentlag-til (cm)" numFmtId="0">
      <sharedItems containsSemiMixedTypes="0" containsString="0" containsNumber="1" containsInteger="1" minValue="2" maxValue="50" count="14">
        <n v="10"/>
        <n v="20"/>
        <n v="2"/>
        <n v="38"/>
        <n v="5"/>
        <n v="30"/>
        <n v="8"/>
        <n v="41"/>
        <n v="39"/>
        <n v="43"/>
        <n v="50"/>
        <n v="45"/>
        <n v="48"/>
        <n v="49"/>
      </sharedItems>
    </cacheField>
    <cacheField name="Sediment-dybde" numFmtId="0">
      <sharedItems count="14">
        <s v="5-10"/>
        <s v="10-20"/>
        <s v="0-2"/>
        <s v="30-38"/>
        <s v="2-5"/>
        <s v="20-30"/>
        <s v="5-8"/>
        <s v="30-41"/>
        <s v="30-39"/>
        <s v="30-43"/>
        <s v="30-50"/>
        <s v="30-45"/>
        <s v="30-48"/>
        <s v="30-49"/>
      </sharedItems>
    </cacheField>
    <cacheField name="Stofparameter" numFmtId="0">
      <sharedItems count="11">
        <s v="Calcium"/>
        <s v="Glødetab, total"/>
        <s v="Phosphor, Ca-adsorberet"/>
        <s v="Nitrogen,total N"/>
        <s v="Phosphor, Al-adsorberet"/>
        <s v="Phosphor, total-P"/>
        <s v="Adsorberet P"/>
        <s v="Organisk bundet P"/>
        <s v="Phosphor, Fe-adsorberet"/>
        <s v="Tørstof,total"/>
        <s v="Jern"/>
      </sharedItems>
    </cacheField>
    <cacheField name="Resultat-attribut" numFmtId="0">
      <sharedItems/>
    </cacheField>
    <cacheField name="Resultat" numFmtId="165">
      <sharedItems containsSemiMixedTypes="0" containsString="0" containsNumber="1" minValue="5.00000023748726E-3" maxValue="199.10000945674301"/>
    </cacheField>
    <cacheField name="Enhed" numFmtId="0">
      <sharedItems/>
    </cacheField>
    <cacheField name="Months (Dato)" numFmtId="0" databaseField="0">
      <fieldGroup base="2">
        <rangePr groupBy="months" startDate="1993-12-27T00:00:00" endDate="2018-11-09T00:00:00"/>
        <groupItems count="14">
          <s v="&lt;12/27/9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9/18"/>
        </groupItems>
      </fieldGroup>
    </cacheField>
    <cacheField name="Quarters (Dato)" numFmtId="0" databaseField="0">
      <fieldGroup base="2">
        <rangePr groupBy="quarters" startDate="1993-12-27T00:00:00" endDate="2018-11-09T00:00:00"/>
        <groupItems count="6">
          <s v="&lt;12/27/93"/>
          <s v="Qtr1"/>
          <s v="Qtr2"/>
          <s v="Qtr3"/>
          <s v="Qtr4"/>
          <s v="&gt;11/9/18"/>
        </groupItems>
      </fieldGroup>
    </cacheField>
    <cacheField name="Years (Dato)" numFmtId="0" databaseField="0">
      <fieldGroup base="2">
        <rangePr groupBy="years" startDate="1993-12-27T00:00:00" endDate="2018-11-09T00:00:00"/>
        <groupItems count="28">
          <s v="&lt;12/27/93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11/9/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x v="0"/>
    <s v="Halsnæs"/>
    <x v="0"/>
    <n v="692735"/>
    <n v="6209960"/>
    <x v="0"/>
    <n v="3"/>
    <x v="0"/>
    <x v="0"/>
    <x v="0"/>
    <x v="0"/>
    <s v=" ="/>
    <n v="75.000003562308805"/>
    <s v="g/kg TS"/>
  </r>
  <r>
    <x v="0"/>
    <s v="Halsnæs"/>
    <x v="0"/>
    <n v="692735"/>
    <n v="6209960"/>
    <x v="1"/>
    <n v="4"/>
    <x v="1"/>
    <x v="1"/>
    <x v="1"/>
    <x v="0"/>
    <s v=" ="/>
    <n v="58.000002754852197"/>
    <s v="g/kg TS"/>
  </r>
  <r>
    <x v="0"/>
    <s v="Halsnæs"/>
    <x v="0"/>
    <n v="692735"/>
    <n v="6209960"/>
    <x v="0"/>
    <n v="1"/>
    <x v="2"/>
    <x v="2"/>
    <x v="2"/>
    <x v="1"/>
    <s v=" ="/>
    <n v="7.2400001078844101"/>
    <s v="pct TS"/>
  </r>
  <r>
    <x v="0"/>
    <s v="Halsnæs"/>
    <x v="0"/>
    <n v="692735"/>
    <n v="6209960"/>
    <x v="1"/>
    <n v="4"/>
    <x v="1"/>
    <x v="1"/>
    <x v="1"/>
    <x v="2"/>
    <s v=" ="/>
    <n v="0.27100001287180903"/>
    <s v="g/kg TS"/>
  </r>
  <r>
    <x v="1"/>
    <s v="Gribskov"/>
    <x v="0"/>
    <n v="694929"/>
    <n v="6209746"/>
    <x v="1"/>
    <n v="1"/>
    <x v="2"/>
    <x v="2"/>
    <x v="2"/>
    <x v="3"/>
    <s v=" ="/>
    <n v="3.7400001776404701"/>
    <s v="g/kg TS"/>
  </r>
  <r>
    <x v="0"/>
    <s v="Halsnæs"/>
    <x v="0"/>
    <n v="692735"/>
    <n v="6209960"/>
    <x v="1"/>
    <n v="6"/>
    <x v="3"/>
    <x v="3"/>
    <x v="3"/>
    <x v="4"/>
    <s v=" ="/>
    <n v="0.126000005984679"/>
    <s v="g/kg TS"/>
  </r>
  <r>
    <x v="0"/>
    <s v="Halsnæs"/>
    <x v="0"/>
    <n v="692735"/>
    <n v="6209960"/>
    <x v="0"/>
    <n v="2"/>
    <x v="4"/>
    <x v="4"/>
    <x v="4"/>
    <x v="3"/>
    <s v=" ="/>
    <n v="5.05000023986213"/>
    <s v="g/kg TS"/>
  </r>
  <r>
    <x v="0"/>
    <s v="Halsnæs"/>
    <x v="0"/>
    <n v="692735"/>
    <n v="6209960"/>
    <x v="1"/>
    <n v="5"/>
    <x v="5"/>
    <x v="5"/>
    <x v="5"/>
    <x v="3"/>
    <s v=" ="/>
    <n v="12.5000005937181"/>
    <s v="g/kg TS"/>
  </r>
  <r>
    <x v="0"/>
    <s v="Halsnæs"/>
    <x v="0"/>
    <n v="692735"/>
    <n v="6209960"/>
    <x v="0"/>
    <n v="5"/>
    <x v="5"/>
    <x v="5"/>
    <x v="5"/>
    <x v="5"/>
    <s v=" ="/>
    <n v="1.0330000490648701"/>
    <s v="g/kg TS"/>
  </r>
  <r>
    <x v="0"/>
    <s v="Halsnæs"/>
    <x v="0"/>
    <n v="692735"/>
    <n v="6209960"/>
    <x v="0"/>
    <n v="2"/>
    <x v="4"/>
    <x v="4"/>
    <x v="4"/>
    <x v="4"/>
    <s v=" ="/>
    <n v="8.0000003799796104E-3"/>
    <s v="g/kg TS"/>
  </r>
  <r>
    <x v="0"/>
    <s v="Halsnæs"/>
    <x v="0"/>
    <n v="692735"/>
    <n v="6209960"/>
    <x v="0"/>
    <n v="6"/>
    <x v="3"/>
    <x v="3"/>
    <x v="3"/>
    <x v="6"/>
    <s v=" ="/>
    <n v="9.00000042747706E-3"/>
    <s v="g/kg TS"/>
  </r>
  <r>
    <x v="0"/>
    <s v="Halsnæs"/>
    <x v="0"/>
    <n v="692735"/>
    <n v="6209960"/>
    <x v="1"/>
    <n v="2"/>
    <x v="4"/>
    <x v="4"/>
    <x v="4"/>
    <x v="7"/>
    <s v=" ="/>
    <n v="0.32100001524668198"/>
    <s v="g/kg TS"/>
  </r>
  <r>
    <x v="0"/>
    <s v="Halsnæs"/>
    <x v="0"/>
    <n v="692735"/>
    <n v="6209960"/>
    <x v="1"/>
    <n v="6"/>
    <x v="3"/>
    <x v="3"/>
    <x v="3"/>
    <x v="8"/>
    <s v=" ="/>
    <n v="0.52200002479367003"/>
    <s v="g/kg TS"/>
  </r>
  <r>
    <x v="0"/>
    <s v="Halsnæs"/>
    <x v="0"/>
    <n v="692735"/>
    <n v="6209960"/>
    <x v="0"/>
    <n v="5"/>
    <x v="5"/>
    <x v="5"/>
    <x v="5"/>
    <x v="7"/>
    <s v=" ="/>
    <n v="0.275000013061799"/>
    <s v="g/kg TS"/>
  </r>
  <r>
    <x v="0"/>
    <s v="Halsnæs"/>
    <x v="0"/>
    <n v="692735"/>
    <n v="6209960"/>
    <x v="0"/>
    <n v="5"/>
    <x v="5"/>
    <x v="5"/>
    <x v="5"/>
    <x v="9"/>
    <s v=" ="/>
    <n v="14.5000002160668"/>
    <s v="pct VV"/>
  </r>
  <r>
    <x v="1"/>
    <s v="Gribskov"/>
    <x v="0"/>
    <n v="694929"/>
    <n v="6209746"/>
    <x v="1"/>
    <n v="2"/>
    <x v="4"/>
    <x v="4"/>
    <x v="4"/>
    <x v="0"/>
    <s v=" ="/>
    <n v="25.0000011874363"/>
    <s v="g/kg TS"/>
  </r>
  <r>
    <x v="0"/>
    <s v="Halsnæs"/>
    <x v="0"/>
    <n v="692735"/>
    <n v="6209960"/>
    <x v="1"/>
    <n v="5"/>
    <x v="5"/>
    <x v="5"/>
    <x v="5"/>
    <x v="4"/>
    <s v=" ="/>
    <n v="3.7000001757405698E-2"/>
    <s v="g/kg TS"/>
  </r>
  <r>
    <x v="1"/>
    <s v="Gribskov"/>
    <x v="0"/>
    <n v="694929"/>
    <n v="6209746"/>
    <x v="1"/>
    <n v="3"/>
    <x v="0"/>
    <x v="6"/>
    <x v="6"/>
    <x v="3"/>
    <s v=" ="/>
    <n v="0.25000001187436299"/>
    <s v="g/kg TS"/>
  </r>
  <r>
    <x v="1"/>
    <s v="Gribskov"/>
    <x v="0"/>
    <n v="694929"/>
    <n v="6209746"/>
    <x v="1"/>
    <n v="3"/>
    <x v="0"/>
    <x v="6"/>
    <x v="6"/>
    <x v="7"/>
    <s v=" ="/>
    <n v="0.25000001187436299"/>
    <s v="g/kg TS"/>
  </r>
  <r>
    <x v="0"/>
    <s v="Halsnæs"/>
    <x v="0"/>
    <n v="692735"/>
    <n v="6209960"/>
    <x v="1"/>
    <n v="1"/>
    <x v="2"/>
    <x v="2"/>
    <x v="2"/>
    <x v="10"/>
    <s v=" ="/>
    <n v="11.000000522472"/>
    <s v="g/kg TS"/>
  </r>
  <r>
    <x v="0"/>
    <s v="Halsnæs"/>
    <x v="0"/>
    <n v="692735"/>
    <n v="6209960"/>
    <x v="0"/>
    <n v="5"/>
    <x v="5"/>
    <x v="5"/>
    <x v="5"/>
    <x v="2"/>
    <s v=" ="/>
    <n v="1.0000000474974499E-2"/>
    <s v="g/kg TS"/>
  </r>
  <r>
    <x v="0"/>
    <s v="Halsnæs"/>
    <x v="0"/>
    <n v="692735"/>
    <n v="6209960"/>
    <x v="1"/>
    <n v="5"/>
    <x v="5"/>
    <x v="5"/>
    <x v="5"/>
    <x v="1"/>
    <s v=" ="/>
    <n v="21.500000320375001"/>
    <s v="pct TS"/>
  </r>
  <r>
    <x v="0"/>
    <s v="Halsnæs"/>
    <x v="0"/>
    <n v="692735"/>
    <n v="6209960"/>
    <x v="1"/>
    <n v="2"/>
    <x v="4"/>
    <x v="4"/>
    <x v="4"/>
    <x v="3"/>
    <s v=" ="/>
    <n v="10.600000503473"/>
    <s v="g/kg TS"/>
  </r>
  <r>
    <x v="0"/>
    <s v="Halsnæs"/>
    <x v="0"/>
    <n v="692735"/>
    <n v="6209960"/>
    <x v="1"/>
    <n v="3"/>
    <x v="0"/>
    <x v="0"/>
    <x v="0"/>
    <x v="9"/>
    <s v=" ="/>
    <n v="13.600000202655799"/>
    <s v="pct VV"/>
  </r>
  <r>
    <x v="0"/>
    <s v="Halsnæs"/>
    <x v="0"/>
    <n v="692735"/>
    <n v="6209960"/>
    <x v="0"/>
    <n v="6"/>
    <x v="3"/>
    <x v="3"/>
    <x v="3"/>
    <x v="10"/>
    <s v=" ="/>
    <n v="14.000000664964301"/>
    <s v="g/kg TS"/>
  </r>
  <r>
    <x v="0"/>
    <s v="Halsnæs"/>
    <x v="0"/>
    <n v="692735"/>
    <n v="6209960"/>
    <x v="1"/>
    <n v="1"/>
    <x v="2"/>
    <x v="2"/>
    <x v="2"/>
    <x v="1"/>
    <s v=" ="/>
    <n v="32.300000481307499"/>
    <s v="pct TS"/>
  </r>
  <r>
    <x v="0"/>
    <s v="Halsnæs"/>
    <x v="0"/>
    <n v="692735"/>
    <n v="6209960"/>
    <x v="1"/>
    <n v="1"/>
    <x v="2"/>
    <x v="2"/>
    <x v="2"/>
    <x v="7"/>
    <s v=" ="/>
    <n v="0.59500002826098397"/>
    <s v="g/kg TS"/>
  </r>
  <r>
    <x v="0"/>
    <s v="Halsnæs"/>
    <x v="0"/>
    <n v="692735"/>
    <n v="6209960"/>
    <x v="0"/>
    <n v="4"/>
    <x v="1"/>
    <x v="1"/>
    <x v="1"/>
    <x v="10"/>
    <s v=" ="/>
    <n v="14.000000664964301"/>
    <s v="g/kg TS"/>
  </r>
  <r>
    <x v="0"/>
    <s v="Halsnæs"/>
    <x v="0"/>
    <n v="692735"/>
    <n v="6209960"/>
    <x v="0"/>
    <n v="3"/>
    <x v="0"/>
    <x v="0"/>
    <x v="0"/>
    <x v="3"/>
    <s v=" ="/>
    <n v="12.600000598467901"/>
    <s v="g/kg TS"/>
  </r>
  <r>
    <x v="0"/>
    <s v="Halsnæs"/>
    <x v="0"/>
    <n v="692735"/>
    <n v="6209960"/>
    <x v="0"/>
    <n v="5"/>
    <x v="5"/>
    <x v="5"/>
    <x v="5"/>
    <x v="8"/>
    <s v=" ="/>
    <n v="0.36200001719407698"/>
    <s v="g/kg TS"/>
  </r>
  <r>
    <x v="0"/>
    <s v="Halsnæs"/>
    <x v="0"/>
    <n v="692735"/>
    <n v="6209960"/>
    <x v="1"/>
    <n v="4"/>
    <x v="1"/>
    <x v="1"/>
    <x v="1"/>
    <x v="8"/>
    <s v=" ="/>
    <n v="8.8000004179775701E-2"/>
    <s v="g/kg TS"/>
  </r>
  <r>
    <x v="0"/>
    <s v="Halsnæs"/>
    <x v="0"/>
    <n v="692735"/>
    <n v="6209960"/>
    <x v="1"/>
    <n v="5"/>
    <x v="5"/>
    <x v="5"/>
    <x v="5"/>
    <x v="5"/>
    <s v=" ="/>
    <n v="0.745000035385601"/>
    <s v="g/kg TS"/>
  </r>
  <r>
    <x v="0"/>
    <s v="Halsnæs"/>
    <x v="0"/>
    <n v="692735"/>
    <n v="6209960"/>
    <x v="1"/>
    <n v="6"/>
    <x v="3"/>
    <x v="3"/>
    <x v="3"/>
    <x v="0"/>
    <s v=" ="/>
    <n v="61.000002897344501"/>
    <s v="g/kg TS"/>
  </r>
  <r>
    <x v="0"/>
    <s v="Halsnæs"/>
    <x v="0"/>
    <n v="692735"/>
    <n v="6209960"/>
    <x v="1"/>
    <n v="2"/>
    <x v="4"/>
    <x v="4"/>
    <x v="4"/>
    <x v="9"/>
    <s v=" ="/>
    <n v="10.9000001624227"/>
    <s v="pct VV"/>
  </r>
  <r>
    <x v="0"/>
    <s v="Halsnæs"/>
    <x v="0"/>
    <n v="692735"/>
    <n v="6209960"/>
    <x v="0"/>
    <n v="3"/>
    <x v="0"/>
    <x v="0"/>
    <x v="0"/>
    <x v="6"/>
    <s v=" ="/>
    <n v="1.9000000902451599E-2"/>
    <s v="g/kg TS"/>
  </r>
  <r>
    <x v="0"/>
    <s v="Halsnæs"/>
    <x v="0"/>
    <n v="692735"/>
    <n v="6209960"/>
    <x v="0"/>
    <n v="2"/>
    <x v="4"/>
    <x v="4"/>
    <x v="4"/>
    <x v="9"/>
    <s v=" ="/>
    <n v="23.100000344216799"/>
    <s v="pct VV"/>
  </r>
  <r>
    <x v="0"/>
    <s v="Halsnæs"/>
    <x v="0"/>
    <n v="692735"/>
    <n v="6209960"/>
    <x v="0"/>
    <n v="2"/>
    <x v="4"/>
    <x v="4"/>
    <x v="4"/>
    <x v="5"/>
    <s v=" ="/>
    <n v="0.44800002127885802"/>
    <s v="g/kg TS"/>
  </r>
  <r>
    <x v="0"/>
    <s v="Halsnæs"/>
    <x v="0"/>
    <n v="692735"/>
    <n v="6209960"/>
    <x v="0"/>
    <n v="6"/>
    <x v="3"/>
    <x v="3"/>
    <x v="3"/>
    <x v="8"/>
    <s v=" ="/>
    <n v="9.0000004274770604E-2"/>
    <s v="g/kg TS"/>
  </r>
  <r>
    <x v="0"/>
    <s v="Halsnæs"/>
    <x v="0"/>
    <n v="692735"/>
    <n v="6209960"/>
    <x v="0"/>
    <n v="2"/>
    <x v="4"/>
    <x v="4"/>
    <x v="4"/>
    <x v="1"/>
    <s v=" ="/>
    <n v="8.5200001269578909"/>
    <s v="pct TS"/>
  </r>
  <r>
    <x v="0"/>
    <s v="Halsnæs"/>
    <x v="0"/>
    <n v="692735"/>
    <n v="6209960"/>
    <x v="1"/>
    <n v="1"/>
    <x v="2"/>
    <x v="2"/>
    <x v="2"/>
    <x v="4"/>
    <s v=" ="/>
    <n v="0.126000005984679"/>
    <s v="g/kg TS"/>
  </r>
  <r>
    <x v="0"/>
    <s v="Halsnæs"/>
    <x v="0"/>
    <n v="692735"/>
    <n v="6209960"/>
    <x v="1"/>
    <n v="3"/>
    <x v="0"/>
    <x v="0"/>
    <x v="0"/>
    <x v="0"/>
    <s v=" ="/>
    <n v="65.000003087334306"/>
    <s v="g/kg TS"/>
  </r>
  <r>
    <x v="0"/>
    <s v="Halsnæs"/>
    <x v="0"/>
    <n v="692735"/>
    <n v="6209960"/>
    <x v="1"/>
    <n v="4"/>
    <x v="1"/>
    <x v="1"/>
    <x v="1"/>
    <x v="4"/>
    <s v="&lt;"/>
    <n v="5.00000023748726E-3"/>
    <s v="g/kg TS"/>
  </r>
  <r>
    <x v="0"/>
    <s v="Halsnæs"/>
    <x v="0"/>
    <n v="692735"/>
    <n v="6209960"/>
    <x v="0"/>
    <n v="3"/>
    <x v="0"/>
    <x v="0"/>
    <x v="0"/>
    <x v="9"/>
    <s v=" ="/>
    <n v="12.3000001832843"/>
    <s v="pct VV"/>
  </r>
  <r>
    <x v="0"/>
    <s v="Halsnæs"/>
    <x v="0"/>
    <n v="692735"/>
    <n v="6209960"/>
    <x v="0"/>
    <n v="3"/>
    <x v="0"/>
    <x v="0"/>
    <x v="0"/>
    <x v="4"/>
    <s v=" ="/>
    <n v="8.0000003799796104E-3"/>
    <s v="g/kg TS"/>
  </r>
  <r>
    <x v="0"/>
    <s v="Halsnæs"/>
    <x v="0"/>
    <n v="692735"/>
    <n v="6209960"/>
    <x v="1"/>
    <n v="4"/>
    <x v="1"/>
    <x v="1"/>
    <x v="1"/>
    <x v="10"/>
    <s v=" ="/>
    <n v="14.000000664964301"/>
    <s v="g/kg TS"/>
  </r>
  <r>
    <x v="0"/>
    <s v="Halsnæs"/>
    <x v="0"/>
    <n v="692735"/>
    <n v="6209960"/>
    <x v="0"/>
    <n v="3"/>
    <x v="0"/>
    <x v="0"/>
    <x v="0"/>
    <x v="10"/>
    <s v=" ="/>
    <n v="17.000000807456701"/>
    <s v="g/kg TS"/>
  </r>
  <r>
    <x v="0"/>
    <s v="Halsnæs"/>
    <x v="0"/>
    <n v="692735"/>
    <n v="6209960"/>
    <x v="1"/>
    <n v="4"/>
    <x v="1"/>
    <x v="1"/>
    <x v="1"/>
    <x v="5"/>
    <s v=" ="/>
    <n v="0.65000003087334302"/>
    <s v="g/kg TS"/>
  </r>
  <r>
    <x v="0"/>
    <s v="Halsnæs"/>
    <x v="0"/>
    <n v="692735"/>
    <n v="6209960"/>
    <x v="1"/>
    <n v="3"/>
    <x v="0"/>
    <x v="0"/>
    <x v="0"/>
    <x v="10"/>
    <s v=" ="/>
    <n v="18.000000854954099"/>
    <s v="g/kg TS"/>
  </r>
  <r>
    <x v="0"/>
    <s v="Halsnæs"/>
    <x v="0"/>
    <n v="692735"/>
    <n v="6209960"/>
    <x v="1"/>
    <n v="6"/>
    <x v="3"/>
    <x v="3"/>
    <x v="3"/>
    <x v="9"/>
    <s v=" ="/>
    <n v="13.500000201165699"/>
    <s v="pct VV"/>
  </r>
  <r>
    <x v="0"/>
    <s v="Halsnæs"/>
    <x v="0"/>
    <n v="692735"/>
    <n v="6209960"/>
    <x v="0"/>
    <n v="5"/>
    <x v="5"/>
    <x v="5"/>
    <x v="5"/>
    <x v="6"/>
    <s v=" ="/>
    <n v="2.0000000949948998E-2"/>
    <s v="g/kg TS"/>
  </r>
  <r>
    <x v="0"/>
    <s v="Halsnæs"/>
    <x v="0"/>
    <n v="692735"/>
    <n v="6209960"/>
    <x v="0"/>
    <n v="1"/>
    <x v="2"/>
    <x v="2"/>
    <x v="2"/>
    <x v="5"/>
    <s v=" ="/>
    <n v="0.477000022656284"/>
    <s v="g/kg TS"/>
  </r>
  <r>
    <x v="1"/>
    <s v="Gribskov"/>
    <x v="0"/>
    <n v="694929"/>
    <n v="6209746"/>
    <x v="1"/>
    <n v="2"/>
    <x v="4"/>
    <x v="4"/>
    <x v="4"/>
    <x v="5"/>
    <s v=" ="/>
    <n v="0.41000001947395498"/>
    <s v="g/kg TS"/>
  </r>
  <r>
    <x v="1"/>
    <s v="Gribskov"/>
    <x v="0"/>
    <n v="694929"/>
    <n v="6209746"/>
    <x v="1"/>
    <n v="3"/>
    <x v="0"/>
    <x v="6"/>
    <x v="6"/>
    <x v="2"/>
    <s v=" ="/>
    <n v="0.33400001586414901"/>
    <s v="g/kg TS"/>
  </r>
  <r>
    <x v="0"/>
    <s v="Halsnæs"/>
    <x v="0"/>
    <n v="692735"/>
    <n v="6209960"/>
    <x v="1"/>
    <n v="3"/>
    <x v="0"/>
    <x v="0"/>
    <x v="0"/>
    <x v="2"/>
    <s v=" ="/>
    <n v="0.23300001106690599"/>
    <s v="g/kg TS"/>
  </r>
  <r>
    <x v="1"/>
    <s v="Gribskov"/>
    <x v="0"/>
    <n v="694929"/>
    <n v="6209746"/>
    <x v="1"/>
    <n v="1"/>
    <x v="2"/>
    <x v="2"/>
    <x v="2"/>
    <x v="9"/>
    <s v=" ="/>
    <n v="15.500000230968"/>
    <s v="pct VV"/>
  </r>
  <r>
    <x v="0"/>
    <s v="Halsnæs"/>
    <x v="0"/>
    <n v="692735"/>
    <n v="6209960"/>
    <x v="1"/>
    <n v="4"/>
    <x v="1"/>
    <x v="1"/>
    <x v="1"/>
    <x v="7"/>
    <s v=" ="/>
    <n v="0.27800001320429102"/>
    <s v="g/kg TS"/>
  </r>
  <r>
    <x v="0"/>
    <s v="Halsnæs"/>
    <x v="0"/>
    <n v="692735"/>
    <n v="6209960"/>
    <x v="1"/>
    <n v="2"/>
    <x v="4"/>
    <x v="4"/>
    <x v="4"/>
    <x v="5"/>
    <s v=" ="/>
    <n v="0.70100003329571303"/>
    <s v="g/kg TS"/>
  </r>
  <r>
    <x v="0"/>
    <s v="Halsnæs"/>
    <x v="0"/>
    <n v="692735"/>
    <n v="6209960"/>
    <x v="0"/>
    <n v="1"/>
    <x v="2"/>
    <x v="2"/>
    <x v="2"/>
    <x v="7"/>
    <s v=" ="/>
    <n v="0.17500000831205401"/>
    <s v="g/kg TS"/>
  </r>
  <r>
    <x v="0"/>
    <s v="Halsnæs"/>
    <x v="0"/>
    <n v="692735"/>
    <n v="6209960"/>
    <x v="0"/>
    <n v="4"/>
    <x v="1"/>
    <x v="1"/>
    <x v="1"/>
    <x v="1"/>
    <s v=" ="/>
    <n v="20.300000302493601"/>
    <s v="pct TS"/>
  </r>
  <r>
    <x v="0"/>
    <s v="Halsnæs"/>
    <x v="0"/>
    <n v="692735"/>
    <n v="6209960"/>
    <x v="1"/>
    <n v="6"/>
    <x v="3"/>
    <x v="3"/>
    <x v="3"/>
    <x v="7"/>
    <s v=" ="/>
    <n v="0.381000018096529"/>
    <s v="g/kg TS"/>
  </r>
  <r>
    <x v="1"/>
    <s v="Gribskov"/>
    <x v="0"/>
    <n v="694929"/>
    <n v="6209746"/>
    <x v="1"/>
    <n v="3"/>
    <x v="0"/>
    <x v="6"/>
    <x v="6"/>
    <x v="4"/>
    <s v="&lt;"/>
    <n v="5.00000023748726E-3"/>
    <s v="g/kg TS"/>
  </r>
  <r>
    <x v="0"/>
    <s v="Halsnæs"/>
    <x v="0"/>
    <n v="692735"/>
    <n v="6209960"/>
    <x v="0"/>
    <n v="4"/>
    <x v="1"/>
    <x v="1"/>
    <x v="1"/>
    <x v="6"/>
    <s v=" ="/>
    <n v="6.0000002849847096E-3"/>
    <s v="g/kg TS"/>
  </r>
  <r>
    <x v="1"/>
    <s v="Gribskov"/>
    <x v="0"/>
    <n v="694929"/>
    <n v="6209746"/>
    <x v="1"/>
    <n v="2"/>
    <x v="4"/>
    <x v="4"/>
    <x v="4"/>
    <x v="6"/>
    <s v="&lt;"/>
    <n v="5.00000023748726E-3"/>
    <s v="g/kg TS"/>
  </r>
  <r>
    <x v="1"/>
    <s v="Gribskov"/>
    <x v="0"/>
    <n v="694929"/>
    <n v="6209746"/>
    <x v="1"/>
    <n v="2"/>
    <x v="4"/>
    <x v="4"/>
    <x v="4"/>
    <x v="7"/>
    <s v=" ="/>
    <n v="0.22000001044943901"/>
    <s v="g/kg TS"/>
  </r>
  <r>
    <x v="0"/>
    <s v="Halsnæs"/>
    <x v="0"/>
    <n v="692735"/>
    <n v="6209960"/>
    <x v="1"/>
    <n v="1"/>
    <x v="2"/>
    <x v="2"/>
    <x v="2"/>
    <x v="8"/>
    <s v=" ="/>
    <n v="0.219000010401942"/>
    <s v="g/kg TS"/>
  </r>
  <r>
    <x v="0"/>
    <s v="Halsnæs"/>
    <x v="0"/>
    <n v="692735"/>
    <n v="6209960"/>
    <x v="0"/>
    <n v="6"/>
    <x v="3"/>
    <x v="3"/>
    <x v="3"/>
    <x v="0"/>
    <s v=" ="/>
    <n v="54.000002564862399"/>
    <s v="g/kg TS"/>
  </r>
  <r>
    <x v="0"/>
    <s v="Halsnæs"/>
    <x v="0"/>
    <n v="692735"/>
    <n v="6209960"/>
    <x v="0"/>
    <n v="4"/>
    <x v="1"/>
    <x v="1"/>
    <x v="1"/>
    <x v="7"/>
    <s v=" ="/>
    <n v="0.37800001795403698"/>
    <s v="g/kg TS"/>
  </r>
  <r>
    <x v="0"/>
    <s v="Halsnæs"/>
    <x v="0"/>
    <n v="692735"/>
    <n v="6209960"/>
    <x v="1"/>
    <n v="3"/>
    <x v="0"/>
    <x v="0"/>
    <x v="0"/>
    <x v="3"/>
    <s v=" ="/>
    <n v="11.800000560469901"/>
    <s v="g/kg TS"/>
  </r>
  <r>
    <x v="1"/>
    <s v="Gribskov"/>
    <x v="0"/>
    <n v="694929"/>
    <n v="6209746"/>
    <x v="1"/>
    <n v="1"/>
    <x v="2"/>
    <x v="2"/>
    <x v="2"/>
    <x v="2"/>
    <s v=" ="/>
    <n v="1.0500000498723201"/>
    <s v="g/kg TS"/>
  </r>
  <r>
    <x v="0"/>
    <s v="Halsnæs"/>
    <x v="0"/>
    <n v="692735"/>
    <n v="6209960"/>
    <x v="0"/>
    <n v="6"/>
    <x v="3"/>
    <x v="3"/>
    <x v="3"/>
    <x v="9"/>
    <s v=" ="/>
    <n v="16.700000248849399"/>
    <s v="pct VV"/>
  </r>
  <r>
    <x v="0"/>
    <s v="Halsnæs"/>
    <x v="0"/>
    <n v="692735"/>
    <n v="6209960"/>
    <x v="1"/>
    <n v="2"/>
    <x v="4"/>
    <x v="4"/>
    <x v="4"/>
    <x v="0"/>
    <s v=" ="/>
    <n v="83.000003942288402"/>
    <s v="g/kg TS"/>
  </r>
  <r>
    <x v="1"/>
    <s v="Gribskov"/>
    <x v="0"/>
    <n v="694929"/>
    <n v="6209746"/>
    <x v="1"/>
    <n v="1"/>
    <x v="2"/>
    <x v="2"/>
    <x v="2"/>
    <x v="10"/>
    <s v=" ="/>
    <n v="9.6000004559755308"/>
    <s v="g/kg TS"/>
  </r>
  <r>
    <x v="0"/>
    <s v="Halsnæs"/>
    <x v="0"/>
    <n v="692735"/>
    <n v="6209960"/>
    <x v="0"/>
    <n v="2"/>
    <x v="4"/>
    <x v="4"/>
    <x v="4"/>
    <x v="2"/>
    <s v=" ="/>
    <n v="0.19100000907201301"/>
    <s v="g/kg TS"/>
  </r>
  <r>
    <x v="1"/>
    <s v="Gribskov"/>
    <x v="0"/>
    <n v="694929"/>
    <n v="6209746"/>
    <x v="1"/>
    <n v="3"/>
    <x v="0"/>
    <x v="6"/>
    <x v="6"/>
    <x v="0"/>
    <s v=" ="/>
    <n v="87.000004132278306"/>
    <s v="g/kg TS"/>
  </r>
  <r>
    <x v="0"/>
    <s v="Halsnæs"/>
    <x v="0"/>
    <n v="692735"/>
    <n v="6209960"/>
    <x v="0"/>
    <n v="4"/>
    <x v="1"/>
    <x v="1"/>
    <x v="1"/>
    <x v="3"/>
    <s v=" ="/>
    <n v="11.800000560469901"/>
    <s v="g/kg TS"/>
  </r>
  <r>
    <x v="0"/>
    <s v="Halsnæs"/>
    <x v="0"/>
    <n v="692735"/>
    <n v="6209960"/>
    <x v="1"/>
    <n v="3"/>
    <x v="0"/>
    <x v="0"/>
    <x v="0"/>
    <x v="6"/>
    <s v=" ="/>
    <n v="1.60000007599592E-2"/>
    <s v="g/kg TS"/>
  </r>
  <r>
    <x v="0"/>
    <s v="Halsnæs"/>
    <x v="0"/>
    <n v="692735"/>
    <n v="6209960"/>
    <x v="0"/>
    <n v="2"/>
    <x v="4"/>
    <x v="4"/>
    <x v="4"/>
    <x v="6"/>
    <s v=" ="/>
    <n v="1.1000000522472001E-2"/>
    <s v="g/kg TS"/>
  </r>
  <r>
    <x v="0"/>
    <s v="Halsnæs"/>
    <x v="0"/>
    <n v="692735"/>
    <n v="6209960"/>
    <x v="0"/>
    <n v="2"/>
    <x v="4"/>
    <x v="4"/>
    <x v="4"/>
    <x v="8"/>
    <s v=" ="/>
    <n v="3.7000001757405698E-2"/>
    <s v="g/kg TS"/>
  </r>
  <r>
    <x v="0"/>
    <s v="Halsnæs"/>
    <x v="0"/>
    <n v="692735"/>
    <n v="6209960"/>
    <x v="0"/>
    <n v="6"/>
    <x v="3"/>
    <x v="3"/>
    <x v="3"/>
    <x v="3"/>
    <s v=" ="/>
    <n v="13.1000006222166"/>
    <s v="g/kg TS"/>
  </r>
  <r>
    <x v="0"/>
    <s v="Halsnæs"/>
    <x v="0"/>
    <n v="692735"/>
    <n v="6209960"/>
    <x v="1"/>
    <n v="2"/>
    <x v="4"/>
    <x v="4"/>
    <x v="4"/>
    <x v="10"/>
    <s v=" ="/>
    <n v="14.000000664964301"/>
    <s v="g/kg TS"/>
  </r>
  <r>
    <x v="0"/>
    <s v="Halsnæs"/>
    <x v="0"/>
    <n v="692735"/>
    <n v="6209960"/>
    <x v="1"/>
    <n v="3"/>
    <x v="0"/>
    <x v="0"/>
    <x v="0"/>
    <x v="1"/>
    <s v=" ="/>
    <n v="20.100000299513301"/>
    <s v="pct TS"/>
  </r>
  <r>
    <x v="0"/>
    <s v="Halsnæs"/>
    <x v="0"/>
    <n v="692735"/>
    <n v="6209960"/>
    <x v="0"/>
    <n v="2"/>
    <x v="4"/>
    <x v="4"/>
    <x v="4"/>
    <x v="10"/>
    <s v=" ="/>
    <n v="6.7000003182329202"/>
    <s v="g/kg TS"/>
  </r>
  <r>
    <x v="0"/>
    <s v="Halsnæs"/>
    <x v="0"/>
    <n v="692735"/>
    <n v="6209960"/>
    <x v="0"/>
    <n v="1"/>
    <x v="2"/>
    <x v="2"/>
    <x v="2"/>
    <x v="3"/>
    <s v=" ="/>
    <n v="4.18000019853935"/>
    <s v="g/kg TS"/>
  </r>
  <r>
    <x v="0"/>
    <s v="Halsnæs"/>
    <x v="0"/>
    <n v="692735"/>
    <n v="6209960"/>
    <x v="1"/>
    <n v="4"/>
    <x v="1"/>
    <x v="1"/>
    <x v="1"/>
    <x v="1"/>
    <s v=" ="/>
    <n v="21.6000003218651"/>
    <s v="pct TS"/>
  </r>
  <r>
    <x v="0"/>
    <s v="Halsnæs"/>
    <x v="0"/>
    <n v="692735"/>
    <n v="6209960"/>
    <x v="1"/>
    <n v="1"/>
    <x v="2"/>
    <x v="2"/>
    <x v="2"/>
    <x v="5"/>
    <s v=" ="/>
    <n v="1.4180000673513899"/>
    <s v="g/kg TS"/>
  </r>
  <r>
    <x v="0"/>
    <s v="Halsnæs"/>
    <x v="0"/>
    <n v="692735"/>
    <n v="6209960"/>
    <x v="0"/>
    <n v="1"/>
    <x v="2"/>
    <x v="2"/>
    <x v="2"/>
    <x v="0"/>
    <s v=" ="/>
    <n v="28.000001329928601"/>
    <s v="g/kg TS"/>
  </r>
  <r>
    <x v="0"/>
    <s v="Halsnæs"/>
    <x v="0"/>
    <n v="692735"/>
    <n v="6209960"/>
    <x v="0"/>
    <n v="2"/>
    <x v="4"/>
    <x v="4"/>
    <x v="4"/>
    <x v="0"/>
    <s v=" ="/>
    <n v="33.0000015674159"/>
    <s v="g/kg TS"/>
  </r>
  <r>
    <x v="1"/>
    <s v="Gribskov"/>
    <x v="0"/>
    <n v="694929"/>
    <n v="6209746"/>
    <x v="1"/>
    <n v="2"/>
    <x v="4"/>
    <x v="4"/>
    <x v="4"/>
    <x v="1"/>
    <s v=" ="/>
    <n v="1.1400000169873199"/>
    <s v="pct TS"/>
  </r>
  <r>
    <x v="0"/>
    <s v="Halsnæs"/>
    <x v="0"/>
    <n v="692735"/>
    <n v="6209960"/>
    <x v="1"/>
    <n v="2"/>
    <x v="4"/>
    <x v="4"/>
    <x v="4"/>
    <x v="1"/>
    <s v=" ="/>
    <n v="18.000000268220901"/>
    <s v="pct TS"/>
  </r>
  <r>
    <x v="0"/>
    <s v="Halsnæs"/>
    <x v="0"/>
    <n v="692735"/>
    <n v="6209960"/>
    <x v="1"/>
    <n v="4"/>
    <x v="1"/>
    <x v="1"/>
    <x v="1"/>
    <x v="3"/>
    <s v=" ="/>
    <n v="13.000000617466901"/>
    <s v="g/kg TS"/>
  </r>
  <r>
    <x v="1"/>
    <s v="Gribskov"/>
    <x v="0"/>
    <n v="694929"/>
    <n v="6209746"/>
    <x v="1"/>
    <n v="2"/>
    <x v="4"/>
    <x v="4"/>
    <x v="4"/>
    <x v="10"/>
    <s v=" ="/>
    <n v="9.9000004702247697"/>
    <s v="g/kg TS"/>
  </r>
  <r>
    <x v="0"/>
    <s v="Halsnæs"/>
    <x v="0"/>
    <n v="692735"/>
    <n v="6209960"/>
    <x v="0"/>
    <n v="6"/>
    <x v="3"/>
    <x v="3"/>
    <x v="3"/>
    <x v="4"/>
    <s v="&lt;"/>
    <n v="5.00000023748726E-3"/>
    <s v="g/kg TS"/>
  </r>
  <r>
    <x v="0"/>
    <s v="Halsnæs"/>
    <x v="0"/>
    <n v="692735"/>
    <n v="6209960"/>
    <x v="1"/>
    <n v="3"/>
    <x v="0"/>
    <x v="0"/>
    <x v="0"/>
    <x v="7"/>
    <s v=" ="/>
    <n v="0.27900001325178903"/>
    <s v="g/kg TS"/>
  </r>
  <r>
    <x v="0"/>
    <s v="Halsnæs"/>
    <x v="0"/>
    <n v="692735"/>
    <n v="6209960"/>
    <x v="0"/>
    <n v="3"/>
    <x v="0"/>
    <x v="0"/>
    <x v="0"/>
    <x v="7"/>
    <s v=" ="/>
    <n v="0.31100001477170702"/>
    <s v="g/kg TS"/>
  </r>
  <r>
    <x v="1"/>
    <s v="Gribskov"/>
    <x v="0"/>
    <n v="694929"/>
    <n v="6209746"/>
    <x v="1"/>
    <n v="2"/>
    <x v="4"/>
    <x v="4"/>
    <x v="4"/>
    <x v="3"/>
    <s v=" ="/>
    <n v="0.41000001947395498"/>
    <s v="g/kg TS"/>
  </r>
  <r>
    <x v="1"/>
    <s v="Gribskov"/>
    <x v="0"/>
    <n v="694929"/>
    <n v="6209746"/>
    <x v="1"/>
    <n v="1"/>
    <x v="2"/>
    <x v="2"/>
    <x v="2"/>
    <x v="4"/>
    <s v=" ="/>
    <n v="6.4000003039836897E-2"/>
    <s v="g/kg TS"/>
  </r>
  <r>
    <x v="0"/>
    <s v="Halsnæs"/>
    <x v="0"/>
    <n v="692735"/>
    <n v="6209960"/>
    <x v="1"/>
    <n v="3"/>
    <x v="0"/>
    <x v="0"/>
    <x v="0"/>
    <x v="4"/>
    <s v="&lt;"/>
    <n v="5.00000023748726E-3"/>
    <s v="g/kg TS"/>
  </r>
  <r>
    <x v="0"/>
    <s v="Halsnæs"/>
    <x v="0"/>
    <n v="692735"/>
    <n v="6209960"/>
    <x v="0"/>
    <n v="1"/>
    <x v="2"/>
    <x v="2"/>
    <x v="2"/>
    <x v="9"/>
    <s v=" ="/>
    <n v="19.600000292062798"/>
    <s v="pct VV"/>
  </r>
  <r>
    <x v="0"/>
    <s v="Halsnæs"/>
    <x v="0"/>
    <n v="692735"/>
    <n v="6209960"/>
    <x v="1"/>
    <n v="5"/>
    <x v="5"/>
    <x v="5"/>
    <x v="5"/>
    <x v="0"/>
    <s v=" ="/>
    <n v="53.000002517364898"/>
    <s v="g/kg TS"/>
  </r>
  <r>
    <x v="1"/>
    <s v="Gribskov"/>
    <x v="0"/>
    <n v="694929"/>
    <n v="6209746"/>
    <x v="1"/>
    <n v="3"/>
    <x v="0"/>
    <x v="6"/>
    <x v="6"/>
    <x v="6"/>
    <s v="&lt;"/>
    <n v="5.00000023748726E-3"/>
    <s v="g/kg TS"/>
  </r>
  <r>
    <x v="1"/>
    <s v="Gribskov"/>
    <x v="0"/>
    <n v="694929"/>
    <n v="6209746"/>
    <x v="1"/>
    <n v="1"/>
    <x v="2"/>
    <x v="2"/>
    <x v="2"/>
    <x v="6"/>
    <s v=" ="/>
    <n v="7.00000033248216E-3"/>
    <s v="g/kg TS"/>
  </r>
  <r>
    <x v="0"/>
    <s v="Halsnæs"/>
    <x v="0"/>
    <n v="692735"/>
    <n v="6209960"/>
    <x v="0"/>
    <n v="1"/>
    <x v="2"/>
    <x v="2"/>
    <x v="2"/>
    <x v="10"/>
    <s v=" ="/>
    <n v="3.9000001852400601"/>
    <s v="g/kg TS"/>
  </r>
  <r>
    <x v="0"/>
    <s v="Halsnæs"/>
    <x v="0"/>
    <n v="692735"/>
    <n v="6209960"/>
    <x v="0"/>
    <n v="1"/>
    <x v="2"/>
    <x v="2"/>
    <x v="2"/>
    <x v="6"/>
    <s v=" ="/>
    <n v="1.4000000664964299E-2"/>
    <s v="g/kg TS"/>
  </r>
  <r>
    <x v="0"/>
    <s v="Halsnæs"/>
    <x v="0"/>
    <n v="692735"/>
    <n v="6209960"/>
    <x v="1"/>
    <n v="2"/>
    <x v="4"/>
    <x v="4"/>
    <x v="4"/>
    <x v="2"/>
    <s v=" ="/>
    <n v="0.25300001201685501"/>
    <s v="g/kg TS"/>
  </r>
  <r>
    <x v="0"/>
    <s v="Halsnæs"/>
    <x v="0"/>
    <n v="692735"/>
    <n v="6209960"/>
    <x v="1"/>
    <n v="2"/>
    <x v="4"/>
    <x v="4"/>
    <x v="4"/>
    <x v="8"/>
    <s v=" ="/>
    <n v="7.5000003562308806E-2"/>
    <s v="g/kg TS"/>
  </r>
  <r>
    <x v="0"/>
    <s v="Halsnæs"/>
    <x v="0"/>
    <n v="692735"/>
    <n v="6209960"/>
    <x v="0"/>
    <n v="5"/>
    <x v="5"/>
    <x v="5"/>
    <x v="5"/>
    <x v="0"/>
    <s v=" ="/>
    <n v="64.000003039836898"/>
    <s v="g/kg TS"/>
  </r>
  <r>
    <x v="1"/>
    <s v="Gribskov"/>
    <x v="0"/>
    <n v="694929"/>
    <n v="6209746"/>
    <x v="1"/>
    <n v="3"/>
    <x v="0"/>
    <x v="6"/>
    <x v="6"/>
    <x v="10"/>
    <s v=" ="/>
    <n v="20.000000949949001"/>
    <s v="g/kg TS"/>
  </r>
  <r>
    <x v="0"/>
    <s v="Halsnæs"/>
    <x v="0"/>
    <n v="692735"/>
    <n v="6209960"/>
    <x v="0"/>
    <n v="4"/>
    <x v="1"/>
    <x v="1"/>
    <x v="1"/>
    <x v="4"/>
    <s v=" ="/>
    <n v="2.8000001329928598E-2"/>
    <s v="g/kg TS"/>
  </r>
  <r>
    <x v="0"/>
    <s v="Halsnæs"/>
    <x v="0"/>
    <n v="692735"/>
    <n v="6209960"/>
    <x v="1"/>
    <n v="5"/>
    <x v="5"/>
    <x v="5"/>
    <x v="5"/>
    <x v="10"/>
    <s v=" ="/>
    <n v="18.000000854954099"/>
    <s v="g/kg TS"/>
  </r>
  <r>
    <x v="0"/>
    <s v="Halsnæs"/>
    <x v="0"/>
    <n v="692735"/>
    <n v="6209960"/>
    <x v="0"/>
    <n v="4"/>
    <x v="1"/>
    <x v="1"/>
    <x v="1"/>
    <x v="8"/>
    <s v=" ="/>
    <n v="4.4000002089887899E-2"/>
    <s v="g/kg TS"/>
  </r>
  <r>
    <x v="0"/>
    <s v="Halsnæs"/>
    <x v="0"/>
    <n v="692735"/>
    <n v="6209960"/>
    <x v="0"/>
    <n v="4"/>
    <x v="1"/>
    <x v="1"/>
    <x v="1"/>
    <x v="2"/>
    <s v=" ="/>
    <n v="0.121000005747192"/>
    <s v="g/kg TS"/>
  </r>
  <r>
    <x v="0"/>
    <s v="Halsnæs"/>
    <x v="0"/>
    <n v="692735"/>
    <n v="6209960"/>
    <x v="0"/>
    <n v="6"/>
    <x v="3"/>
    <x v="3"/>
    <x v="3"/>
    <x v="5"/>
    <s v=" ="/>
    <n v="0.59800002840347599"/>
    <s v="g/kg TS"/>
  </r>
  <r>
    <x v="0"/>
    <s v="Halsnæs"/>
    <x v="0"/>
    <n v="692735"/>
    <n v="6209960"/>
    <x v="0"/>
    <n v="5"/>
    <x v="5"/>
    <x v="5"/>
    <x v="5"/>
    <x v="10"/>
    <s v=" ="/>
    <n v="17.000000807456701"/>
    <s v="g/kg TS"/>
  </r>
  <r>
    <x v="0"/>
    <s v="Halsnæs"/>
    <x v="0"/>
    <n v="692735"/>
    <n v="6209960"/>
    <x v="1"/>
    <n v="5"/>
    <x v="5"/>
    <x v="5"/>
    <x v="5"/>
    <x v="9"/>
    <s v=" ="/>
    <n v="16.300000242888899"/>
    <s v="pct VV"/>
  </r>
  <r>
    <x v="0"/>
    <s v="Halsnæs"/>
    <x v="0"/>
    <n v="692735"/>
    <n v="6209960"/>
    <x v="1"/>
    <n v="5"/>
    <x v="5"/>
    <x v="5"/>
    <x v="5"/>
    <x v="7"/>
    <s v=" ="/>
    <n v="0.33800001605413899"/>
    <s v="g/kg TS"/>
  </r>
  <r>
    <x v="0"/>
    <s v="Halsnæs"/>
    <x v="0"/>
    <n v="692735"/>
    <n v="6209960"/>
    <x v="0"/>
    <n v="3"/>
    <x v="0"/>
    <x v="0"/>
    <x v="0"/>
    <x v="2"/>
    <s v=" ="/>
    <n v="0.25700001220684499"/>
    <s v="g/kg TS"/>
  </r>
  <r>
    <x v="0"/>
    <s v="Halsnæs"/>
    <x v="0"/>
    <n v="692735"/>
    <n v="6209960"/>
    <x v="1"/>
    <n v="4"/>
    <x v="1"/>
    <x v="1"/>
    <x v="1"/>
    <x v="9"/>
    <s v=" ="/>
    <n v="14.3000002130866"/>
    <s v="pct VV"/>
  </r>
  <r>
    <x v="0"/>
    <s v="Halsnæs"/>
    <x v="0"/>
    <n v="692735"/>
    <n v="6209960"/>
    <x v="1"/>
    <n v="1"/>
    <x v="2"/>
    <x v="2"/>
    <x v="2"/>
    <x v="2"/>
    <s v=" ="/>
    <n v="0.42700002028141198"/>
    <s v="g/kg TS"/>
  </r>
  <r>
    <x v="1"/>
    <s v="Gribskov"/>
    <x v="0"/>
    <n v="694929"/>
    <n v="6209746"/>
    <x v="1"/>
    <n v="3"/>
    <x v="0"/>
    <x v="6"/>
    <x v="6"/>
    <x v="5"/>
    <s v=" ="/>
    <n v="0.59400002821348596"/>
    <s v="g/kg TS"/>
  </r>
  <r>
    <x v="0"/>
    <s v="Halsnæs"/>
    <x v="0"/>
    <n v="692735"/>
    <n v="6209960"/>
    <x v="0"/>
    <n v="5"/>
    <x v="5"/>
    <x v="5"/>
    <x v="5"/>
    <x v="4"/>
    <s v=" ="/>
    <n v="0.36600001738406701"/>
    <s v="g/kg TS"/>
  </r>
  <r>
    <x v="0"/>
    <s v="Halsnæs"/>
    <x v="0"/>
    <n v="692735"/>
    <n v="6209960"/>
    <x v="0"/>
    <n v="6"/>
    <x v="3"/>
    <x v="3"/>
    <x v="3"/>
    <x v="2"/>
    <s v=" ="/>
    <n v="0.22500001068692699"/>
    <s v="g/kg TS"/>
  </r>
  <r>
    <x v="0"/>
    <s v="Halsnæs"/>
    <x v="0"/>
    <n v="692735"/>
    <n v="6209960"/>
    <x v="0"/>
    <n v="3"/>
    <x v="0"/>
    <x v="0"/>
    <x v="0"/>
    <x v="1"/>
    <s v=" ="/>
    <n v="21.2000003159046"/>
    <s v="pct TS"/>
  </r>
  <r>
    <x v="1"/>
    <s v="Gribskov"/>
    <x v="0"/>
    <n v="694929"/>
    <n v="6209746"/>
    <x v="1"/>
    <n v="2"/>
    <x v="4"/>
    <x v="4"/>
    <x v="4"/>
    <x v="8"/>
    <s v=" ="/>
    <n v="1.20000005699694E-2"/>
    <s v="g/kg TS"/>
  </r>
  <r>
    <x v="1"/>
    <s v="Gribskov"/>
    <x v="0"/>
    <n v="694929"/>
    <n v="6209746"/>
    <x v="1"/>
    <n v="2"/>
    <x v="4"/>
    <x v="4"/>
    <x v="4"/>
    <x v="4"/>
    <s v="&lt;"/>
    <n v="5.00000023748726E-3"/>
    <s v="g/kg TS"/>
  </r>
  <r>
    <x v="0"/>
    <s v="Halsnæs"/>
    <x v="0"/>
    <n v="692735"/>
    <n v="6209960"/>
    <x v="1"/>
    <n v="6"/>
    <x v="3"/>
    <x v="3"/>
    <x v="3"/>
    <x v="5"/>
    <s v=" ="/>
    <n v="1.2380000588018401"/>
    <s v="g/kg TS"/>
  </r>
  <r>
    <x v="1"/>
    <s v="Gribskov"/>
    <x v="0"/>
    <n v="694929"/>
    <n v="6209746"/>
    <x v="1"/>
    <n v="1"/>
    <x v="2"/>
    <x v="2"/>
    <x v="2"/>
    <x v="7"/>
    <s v=" ="/>
    <n v="2.5700001220684499"/>
    <s v="g/kg TS"/>
  </r>
  <r>
    <x v="0"/>
    <s v="Halsnæs"/>
    <x v="0"/>
    <n v="692735"/>
    <n v="6209960"/>
    <x v="1"/>
    <n v="6"/>
    <x v="3"/>
    <x v="3"/>
    <x v="3"/>
    <x v="1"/>
    <s v=" ="/>
    <n v="31.900000475346999"/>
    <s v="pct TS"/>
  </r>
  <r>
    <x v="1"/>
    <s v="Gribskov"/>
    <x v="0"/>
    <n v="694929"/>
    <n v="6209746"/>
    <x v="1"/>
    <n v="3"/>
    <x v="0"/>
    <x v="6"/>
    <x v="6"/>
    <x v="9"/>
    <s v=" ="/>
    <n v="79.400001183152199"/>
    <s v="pct VV"/>
  </r>
  <r>
    <x v="0"/>
    <s v="Halsnæs"/>
    <x v="0"/>
    <n v="692735"/>
    <n v="6209960"/>
    <x v="1"/>
    <n v="4"/>
    <x v="1"/>
    <x v="1"/>
    <x v="1"/>
    <x v="6"/>
    <s v=" ="/>
    <n v="1.30000006174669E-2"/>
    <s v="g/kg TS"/>
  </r>
  <r>
    <x v="0"/>
    <s v="Halsnæs"/>
    <x v="0"/>
    <n v="692735"/>
    <n v="6209960"/>
    <x v="0"/>
    <n v="2"/>
    <x v="4"/>
    <x v="4"/>
    <x v="4"/>
    <x v="7"/>
    <s v=" ="/>
    <n v="0.20100000954698799"/>
    <s v="g/kg TS"/>
  </r>
  <r>
    <x v="0"/>
    <s v="Halsnæs"/>
    <x v="0"/>
    <n v="692735"/>
    <n v="6209960"/>
    <x v="0"/>
    <n v="3"/>
    <x v="0"/>
    <x v="0"/>
    <x v="0"/>
    <x v="5"/>
    <s v=" ="/>
    <n v="0.68500003253575403"/>
    <s v="g/kg TS"/>
  </r>
  <r>
    <x v="0"/>
    <s v="Halsnæs"/>
    <x v="0"/>
    <n v="692735"/>
    <n v="6209960"/>
    <x v="1"/>
    <n v="6"/>
    <x v="3"/>
    <x v="3"/>
    <x v="3"/>
    <x v="3"/>
    <s v=" ="/>
    <n v="17.400000826455699"/>
    <s v="g/kg TS"/>
  </r>
  <r>
    <x v="0"/>
    <s v="Halsnæs"/>
    <x v="0"/>
    <n v="692735"/>
    <n v="6209960"/>
    <x v="1"/>
    <n v="5"/>
    <x v="5"/>
    <x v="5"/>
    <x v="5"/>
    <x v="2"/>
    <s v=" ="/>
    <n v="0.24000001139938801"/>
    <s v="g/kg TS"/>
  </r>
  <r>
    <x v="0"/>
    <s v="Halsnæs"/>
    <x v="0"/>
    <n v="692735"/>
    <n v="6209960"/>
    <x v="1"/>
    <n v="1"/>
    <x v="2"/>
    <x v="2"/>
    <x v="2"/>
    <x v="9"/>
    <s v=" ="/>
    <n v="5.0100000746548199"/>
    <s v="pct VV"/>
  </r>
  <r>
    <x v="1"/>
    <s v="Gribskov"/>
    <x v="0"/>
    <n v="694929"/>
    <n v="6209746"/>
    <x v="1"/>
    <n v="1"/>
    <x v="2"/>
    <x v="2"/>
    <x v="2"/>
    <x v="8"/>
    <s v=" ="/>
    <n v="5.1000002422370003E-2"/>
    <s v="g/kg TS"/>
  </r>
  <r>
    <x v="0"/>
    <s v="Halsnæs"/>
    <x v="0"/>
    <n v="692735"/>
    <n v="6209960"/>
    <x v="1"/>
    <n v="5"/>
    <x v="5"/>
    <x v="5"/>
    <x v="5"/>
    <x v="8"/>
    <s v=" ="/>
    <n v="0.120000005699694"/>
    <s v="g/kg TS"/>
  </r>
  <r>
    <x v="1"/>
    <s v="Gribskov"/>
    <x v="0"/>
    <n v="694929"/>
    <n v="6209746"/>
    <x v="1"/>
    <n v="2"/>
    <x v="4"/>
    <x v="4"/>
    <x v="4"/>
    <x v="9"/>
    <s v=" ="/>
    <n v="70.300001047551604"/>
    <s v="pct VV"/>
  </r>
  <r>
    <x v="0"/>
    <s v="Halsnæs"/>
    <x v="0"/>
    <n v="692735"/>
    <n v="6209960"/>
    <x v="1"/>
    <n v="1"/>
    <x v="2"/>
    <x v="2"/>
    <x v="2"/>
    <x v="0"/>
    <s v=" ="/>
    <n v="170.00000807456701"/>
    <s v="g/kg TS"/>
  </r>
  <r>
    <x v="0"/>
    <s v="Halsnæs"/>
    <x v="0"/>
    <n v="692735"/>
    <n v="6209960"/>
    <x v="1"/>
    <n v="5"/>
    <x v="5"/>
    <x v="5"/>
    <x v="5"/>
    <x v="6"/>
    <s v=" ="/>
    <n v="1.0000000474974499E-2"/>
    <s v="g/kg TS"/>
  </r>
  <r>
    <x v="1"/>
    <s v="Gribskov"/>
    <x v="0"/>
    <n v="694929"/>
    <n v="6209746"/>
    <x v="1"/>
    <n v="1"/>
    <x v="2"/>
    <x v="2"/>
    <x v="2"/>
    <x v="5"/>
    <s v=" ="/>
    <n v="3.7420001777354601"/>
    <s v="g/kg TS"/>
  </r>
  <r>
    <x v="0"/>
    <s v="Halsnæs"/>
    <x v="0"/>
    <n v="692735"/>
    <n v="6209960"/>
    <x v="1"/>
    <n v="6"/>
    <x v="3"/>
    <x v="3"/>
    <x v="3"/>
    <x v="6"/>
    <s v=" ="/>
    <n v="1.9000000902451599E-2"/>
    <s v="g/kg TS"/>
  </r>
  <r>
    <x v="0"/>
    <s v="Halsnæs"/>
    <x v="0"/>
    <n v="692735"/>
    <n v="6209960"/>
    <x v="1"/>
    <n v="2"/>
    <x v="4"/>
    <x v="4"/>
    <x v="4"/>
    <x v="4"/>
    <s v=" ="/>
    <n v="2.40000011399388E-2"/>
    <s v="g/kg TS"/>
  </r>
  <r>
    <x v="0"/>
    <s v="Halsnæs"/>
    <x v="0"/>
    <n v="692735"/>
    <n v="6209960"/>
    <x v="0"/>
    <n v="6"/>
    <x v="3"/>
    <x v="3"/>
    <x v="3"/>
    <x v="1"/>
    <s v=" ="/>
    <n v="22.8000003397465"/>
    <s v="pct TS"/>
  </r>
  <r>
    <x v="0"/>
    <s v="Halsnæs"/>
    <x v="0"/>
    <n v="692735"/>
    <n v="6209960"/>
    <x v="0"/>
    <n v="1"/>
    <x v="2"/>
    <x v="2"/>
    <x v="2"/>
    <x v="4"/>
    <s v=" ="/>
    <n v="2.9000001377426102E-2"/>
    <s v="g/kg TS"/>
  </r>
  <r>
    <x v="0"/>
    <s v="Halsnæs"/>
    <x v="0"/>
    <n v="692735"/>
    <n v="6209960"/>
    <x v="0"/>
    <n v="6"/>
    <x v="3"/>
    <x v="3"/>
    <x v="3"/>
    <x v="7"/>
    <s v=" ="/>
    <n v="0.27400001301430199"/>
    <s v="g/kg TS"/>
  </r>
  <r>
    <x v="0"/>
    <s v="Halsnæs"/>
    <x v="0"/>
    <n v="692735"/>
    <n v="6209960"/>
    <x v="1"/>
    <n v="6"/>
    <x v="3"/>
    <x v="3"/>
    <x v="3"/>
    <x v="2"/>
    <s v=" ="/>
    <n v="0.190000009024516"/>
    <s v="g/kg TS"/>
  </r>
  <r>
    <x v="0"/>
    <s v="Halsnæs"/>
    <x v="0"/>
    <n v="692735"/>
    <n v="6209960"/>
    <x v="0"/>
    <n v="4"/>
    <x v="1"/>
    <x v="1"/>
    <x v="1"/>
    <x v="0"/>
    <s v=" ="/>
    <n v="57.000002707354703"/>
    <s v="g/kg TS"/>
  </r>
  <r>
    <x v="0"/>
    <s v="Halsnæs"/>
    <x v="0"/>
    <n v="692735"/>
    <n v="6209960"/>
    <x v="0"/>
    <n v="1"/>
    <x v="2"/>
    <x v="2"/>
    <x v="2"/>
    <x v="2"/>
    <s v=" ="/>
    <n v="0.223000010591932"/>
    <s v="g/kg TS"/>
  </r>
  <r>
    <x v="1"/>
    <s v="Gribskov"/>
    <x v="0"/>
    <n v="694929"/>
    <n v="6209746"/>
    <x v="1"/>
    <n v="2"/>
    <x v="4"/>
    <x v="4"/>
    <x v="4"/>
    <x v="2"/>
    <s v=" ="/>
    <n v="0.178000008454546"/>
    <s v="g/kg TS"/>
  </r>
  <r>
    <x v="1"/>
    <s v="Gribskov"/>
    <x v="0"/>
    <n v="694929"/>
    <n v="6209746"/>
    <x v="1"/>
    <n v="3"/>
    <x v="0"/>
    <x v="6"/>
    <x v="6"/>
    <x v="1"/>
    <s v=" ="/>
    <n v="1.0800000160932499"/>
    <s v="pct TS"/>
  </r>
  <r>
    <x v="0"/>
    <s v="Halsnæs"/>
    <x v="0"/>
    <n v="692735"/>
    <n v="6209960"/>
    <x v="0"/>
    <n v="4"/>
    <x v="1"/>
    <x v="1"/>
    <x v="1"/>
    <x v="5"/>
    <s v=" ="/>
    <n v="0.57700002740602896"/>
    <s v="g/kg TS"/>
  </r>
  <r>
    <x v="1"/>
    <s v="Gribskov"/>
    <x v="0"/>
    <n v="694929"/>
    <n v="6209746"/>
    <x v="1"/>
    <n v="1"/>
    <x v="2"/>
    <x v="2"/>
    <x v="2"/>
    <x v="1"/>
    <s v=" ="/>
    <n v="7.5300001122057401"/>
    <s v="pct TS"/>
  </r>
  <r>
    <x v="1"/>
    <s v="Gribskov"/>
    <x v="0"/>
    <n v="694929"/>
    <n v="6209746"/>
    <x v="1"/>
    <n v="1"/>
    <x v="2"/>
    <x v="2"/>
    <x v="2"/>
    <x v="0"/>
    <s v=" ="/>
    <n v="20.000000949949001"/>
    <s v="g/kg TS"/>
  </r>
  <r>
    <x v="0"/>
    <s v="Halsnæs"/>
    <x v="0"/>
    <n v="692735"/>
    <n v="6209960"/>
    <x v="1"/>
    <n v="2"/>
    <x v="4"/>
    <x v="4"/>
    <x v="4"/>
    <x v="6"/>
    <s v=" ="/>
    <n v="2.8000001329928598E-2"/>
    <s v="g/kg TS"/>
  </r>
  <r>
    <x v="1"/>
    <s v="Gribskov"/>
    <x v="0"/>
    <n v="694929"/>
    <n v="6209746"/>
    <x v="1"/>
    <n v="3"/>
    <x v="0"/>
    <x v="6"/>
    <x v="6"/>
    <x v="8"/>
    <s v=" ="/>
    <n v="1.0000000474974499E-2"/>
    <s v="g/kg TS"/>
  </r>
  <r>
    <x v="0"/>
    <s v="Halsnæs"/>
    <x v="0"/>
    <n v="692735"/>
    <n v="6209960"/>
    <x v="0"/>
    <n v="5"/>
    <x v="5"/>
    <x v="5"/>
    <x v="5"/>
    <x v="3"/>
    <s v=" ="/>
    <n v="14.800000702962301"/>
    <s v="g/kg TS"/>
  </r>
  <r>
    <x v="0"/>
    <s v="Halsnæs"/>
    <x v="0"/>
    <n v="692735"/>
    <n v="6209960"/>
    <x v="1"/>
    <n v="3"/>
    <x v="0"/>
    <x v="0"/>
    <x v="0"/>
    <x v="8"/>
    <s v=" ="/>
    <n v="7.4000003514811397E-2"/>
    <s v="g/kg TS"/>
  </r>
  <r>
    <x v="0"/>
    <s v="Halsnæs"/>
    <x v="0"/>
    <n v="692735"/>
    <n v="6209960"/>
    <x v="0"/>
    <n v="5"/>
    <x v="5"/>
    <x v="5"/>
    <x v="5"/>
    <x v="1"/>
    <s v=" ="/>
    <n v="26.200000390410398"/>
    <s v="pct TS"/>
  </r>
  <r>
    <x v="0"/>
    <s v="Halsnæs"/>
    <x v="0"/>
    <n v="692735"/>
    <n v="6209960"/>
    <x v="1"/>
    <n v="6"/>
    <x v="3"/>
    <x v="3"/>
    <x v="3"/>
    <x v="10"/>
    <s v=" ="/>
    <n v="18.000000854954099"/>
    <s v="g/kg TS"/>
  </r>
  <r>
    <x v="0"/>
    <s v="Halsnæs"/>
    <x v="0"/>
    <n v="692735"/>
    <n v="6209960"/>
    <x v="1"/>
    <n v="1"/>
    <x v="2"/>
    <x v="2"/>
    <x v="2"/>
    <x v="3"/>
    <s v=" ="/>
    <n v="16.600000788457699"/>
    <s v="g/kg TS"/>
  </r>
  <r>
    <x v="0"/>
    <s v="Halsnæs"/>
    <x v="0"/>
    <n v="692735"/>
    <n v="6209960"/>
    <x v="1"/>
    <n v="3"/>
    <x v="0"/>
    <x v="0"/>
    <x v="0"/>
    <x v="5"/>
    <s v=" ="/>
    <n v="0.60200002859346602"/>
    <s v="g/kg TS"/>
  </r>
  <r>
    <x v="0"/>
    <s v="Halsnæs"/>
    <x v="0"/>
    <n v="692735"/>
    <n v="6209960"/>
    <x v="0"/>
    <n v="4"/>
    <x v="1"/>
    <x v="1"/>
    <x v="1"/>
    <x v="9"/>
    <s v=" ="/>
    <n v="15.700000233948201"/>
    <s v="pct VV"/>
  </r>
  <r>
    <x v="0"/>
    <s v="Halsnæs"/>
    <x v="0"/>
    <n v="692735"/>
    <n v="6209960"/>
    <x v="0"/>
    <n v="1"/>
    <x v="2"/>
    <x v="2"/>
    <x v="2"/>
    <x v="8"/>
    <s v=" ="/>
    <n v="3.6000001709908198E-2"/>
    <s v="g/kg TS"/>
  </r>
  <r>
    <x v="0"/>
    <s v="Halsnæs"/>
    <x v="0"/>
    <n v="692735"/>
    <n v="6209960"/>
    <x v="0"/>
    <n v="3"/>
    <x v="0"/>
    <x v="0"/>
    <x v="0"/>
    <x v="8"/>
    <s v=" ="/>
    <n v="9.0000004274770604E-2"/>
    <s v="g/kg TS"/>
  </r>
  <r>
    <x v="0"/>
    <s v="Halsnæs"/>
    <x v="0"/>
    <n v="692735"/>
    <n v="6209960"/>
    <x v="1"/>
    <n v="1"/>
    <x v="2"/>
    <x v="2"/>
    <x v="2"/>
    <x v="6"/>
    <s v=" ="/>
    <n v="5.1000002422370003E-2"/>
    <s v="g/kg TS"/>
  </r>
  <r>
    <x v="2"/>
    <s v="Gribskov"/>
    <x v="1"/>
    <n v="695956"/>
    <n v="6208568"/>
    <x v="1"/>
    <n v="5"/>
    <x v="5"/>
    <x v="5"/>
    <x v="5"/>
    <x v="10"/>
    <s v=" ="/>
    <n v="12.0820005738642"/>
    <s v="g/kg TS"/>
  </r>
  <r>
    <x v="2"/>
    <s v="Gribskov"/>
    <x v="1"/>
    <n v="695956"/>
    <n v="6208568"/>
    <x v="1"/>
    <n v="6"/>
    <x v="3"/>
    <x v="7"/>
    <x v="7"/>
    <x v="3"/>
    <s v=" ="/>
    <n v="9.6300004574004596"/>
    <s v="g/kg TS"/>
  </r>
  <r>
    <x v="1"/>
    <s v="Gribskov"/>
    <x v="1"/>
    <n v="694929"/>
    <n v="6209746"/>
    <x v="1"/>
    <n v="6"/>
    <x v="3"/>
    <x v="8"/>
    <x v="8"/>
    <x v="9"/>
    <s v=" ="/>
    <n v="12"/>
    <s v="pct VV"/>
  </r>
  <r>
    <x v="1"/>
    <s v="Gribskov"/>
    <x v="1"/>
    <n v="694929"/>
    <n v="6209746"/>
    <x v="1"/>
    <n v="4"/>
    <x v="1"/>
    <x v="1"/>
    <x v="1"/>
    <x v="3"/>
    <s v=" ="/>
    <n v="16.920000803656901"/>
    <s v="g/kg TS"/>
  </r>
  <r>
    <x v="1"/>
    <s v="Gribskov"/>
    <x v="1"/>
    <n v="694929"/>
    <n v="6209746"/>
    <x v="1"/>
    <n v="2"/>
    <x v="4"/>
    <x v="4"/>
    <x v="4"/>
    <x v="9"/>
    <s v=" ="/>
    <n v="5.2"/>
    <s v="pct VV"/>
  </r>
  <r>
    <x v="2"/>
    <s v="Gribskov"/>
    <x v="1"/>
    <n v="695956"/>
    <n v="6208568"/>
    <x v="1"/>
    <n v="6"/>
    <x v="3"/>
    <x v="7"/>
    <x v="7"/>
    <x v="0"/>
    <s v=" ="/>
    <n v="120.000005699694"/>
    <s v="g/kg TS"/>
  </r>
  <r>
    <x v="1"/>
    <s v="Gribskov"/>
    <x v="1"/>
    <n v="694929"/>
    <n v="6209746"/>
    <x v="1"/>
    <n v="3"/>
    <x v="0"/>
    <x v="0"/>
    <x v="0"/>
    <x v="0"/>
    <s v=" ="/>
    <n v="180.00000854954101"/>
    <s v="g/kg TS"/>
  </r>
  <r>
    <x v="2"/>
    <s v="Gribskov"/>
    <x v="1"/>
    <n v="695956"/>
    <n v="6208568"/>
    <x v="1"/>
    <n v="4"/>
    <x v="1"/>
    <x v="1"/>
    <x v="1"/>
    <x v="5"/>
    <s v=" ="/>
    <n v="1.8000000854954099"/>
    <s v="g/kg TS"/>
  </r>
  <r>
    <x v="0"/>
    <s v="Halsnæs"/>
    <x v="1"/>
    <n v="692735"/>
    <n v="6209960"/>
    <x v="1"/>
    <n v="5"/>
    <x v="5"/>
    <x v="5"/>
    <x v="5"/>
    <x v="5"/>
    <s v=" ="/>
    <n v="1.1100000527221701"/>
    <s v="g/kg TS"/>
  </r>
  <r>
    <x v="1"/>
    <s v="Gribskov"/>
    <x v="1"/>
    <n v="694929"/>
    <n v="6209746"/>
    <x v="1"/>
    <n v="4"/>
    <x v="1"/>
    <x v="1"/>
    <x v="1"/>
    <x v="0"/>
    <s v=" ="/>
    <n v="180.00000854954101"/>
    <s v="g/kg TS"/>
  </r>
  <r>
    <x v="2"/>
    <s v="Gribskov"/>
    <x v="1"/>
    <n v="695956"/>
    <n v="6208568"/>
    <x v="1"/>
    <n v="5"/>
    <x v="5"/>
    <x v="5"/>
    <x v="5"/>
    <x v="5"/>
    <s v=" ="/>
    <n v="1.4900000707712"/>
    <s v="g/kg TS"/>
  </r>
  <r>
    <x v="1"/>
    <s v="Gribskov"/>
    <x v="1"/>
    <n v="694929"/>
    <n v="6209746"/>
    <x v="1"/>
    <n v="6"/>
    <x v="3"/>
    <x v="8"/>
    <x v="8"/>
    <x v="0"/>
    <s v=" ="/>
    <n v="130.00000617466901"/>
    <s v="g/kg TS"/>
  </r>
  <r>
    <x v="0"/>
    <s v="Halsnæs"/>
    <x v="1"/>
    <n v="692735"/>
    <n v="6209960"/>
    <x v="1"/>
    <n v="1"/>
    <x v="2"/>
    <x v="2"/>
    <x v="2"/>
    <x v="10"/>
    <s v=" ="/>
    <n v="6.8000003229826698"/>
    <s v="g/kg TS"/>
  </r>
  <r>
    <x v="2"/>
    <s v="Gribskov"/>
    <x v="1"/>
    <n v="695956"/>
    <n v="6208568"/>
    <x v="1"/>
    <n v="1"/>
    <x v="2"/>
    <x v="2"/>
    <x v="2"/>
    <x v="9"/>
    <s v=" ="/>
    <n v="3.4"/>
    <s v="pct VV"/>
  </r>
  <r>
    <x v="1"/>
    <s v="Gribskov"/>
    <x v="1"/>
    <n v="694929"/>
    <n v="6209746"/>
    <x v="1"/>
    <n v="5"/>
    <x v="5"/>
    <x v="5"/>
    <x v="5"/>
    <x v="5"/>
    <s v=" ="/>
    <n v="1.8300000869203401"/>
    <s v="g/kg TS"/>
  </r>
  <r>
    <x v="2"/>
    <s v="Gribskov"/>
    <x v="1"/>
    <n v="695956"/>
    <n v="6208568"/>
    <x v="1"/>
    <n v="3"/>
    <x v="0"/>
    <x v="0"/>
    <x v="0"/>
    <x v="0"/>
    <s v=" ="/>
    <n v="149.807007115451"/>
    <s v="g/kg TS"/>
  </r>
  <r>
    <x v="2"/>
    <s v="Gribskov"/>
    <x v="1"/>
    <n v="695956"/>
    <n v="6208568"/>
    <x v="1"/>
    <n v="1"/>
    <x v="2"/>
    <x v="2"/>
    <x v="2"/>
    <x v="5"/>
    <s v=" ="/>
    <n v="1.91000009072013"/>
    <s v="g/kg TS"/>
  </r>
  <r>
    <x v="2"/>
    <s v="Gribskov"/>
    <x v="1"/>
    <n v="695956"/>
    <n v="6208568"/>
    <x v="1"/>
    <n v="3"/>
    <x v="0"/>
    <x v="0"/>
    <x v="0"/>
    <x v="10"/>
    <s v=" ="/>
    <n v="6.50600030901842"/>
    <s v="g/kg TS"/>
  </r>
  <r>
    <x v="1"/>
    <s v="Gribskov"/>
    <x v="1"/>
    <n v="694929"/>
    <n v="6209746"/>
    <x v="1"/>
    <n v="1"/>
    <x v="2"/>
    <x v="2"/>
    <x v="2"/>
    <x v="1"/>
    <s v=" ="/>
    <n v="48"/>
    <s v="pct TS"/>
  </r>
  <r>
    <x v="1"/>
    <s v="Gribskov"/>
    <x v="1"/>
    <n v="694929"/>
    <n v="6209746"/>
    <x v="1"/>
    <n v="3"/>
    <x v="0"/>
    <x v="0"/>
    <x v="0"/>
    <x v="10"/>
    <s v=" ="/>
    <n v="7.8120003710500896"/>
    <s v="g/kg TS"/>
  </r>
  <r>
    <x v="2"/>
    <s v="Gribskov"/>
    <x v="1"/>
    <n v="695956"/>
    <n v="6208568"/>
    <x v="1"/>
    <n v="5"/>
    <x v="5"/>
    <x v="5"/>
    <x v="5"/>
    <x v="0"/>
    <s v=" ="/>
    <n v="150.00000712461801"/>
    <s v="g/kg TS"/>
  </r>
  <r>
    <x v="1"/>
    <s v="Gribskov"/>
    <x v="1"/>
    <n v="694929"/>
    <n v="6209746"/>
    <x v="1"/>
    <n v="6"/>
    <x v="3"/>
    <x v="8"/>
    <x v="8"/>
    <x v="10"/>
    <s v=" ="/>
    <n v="13.742000652710001"/>
    <s v="g/kg TS"/>
  </r>
  <r>
    <x v="0"/>
    <s v="Halsnæs"/>
    <x v="1"/>
    <n v="692735"/>
    <n v="6209960"/>
    <x v="1"/>
    <n v="2"/>
    <x v="4"/>
    <x v="4"/>
    <x v="4"/>
    <x v="1"/>
    <s v=" ="/>
    <n v="44"/>
    <s v="pct TS"/>
  </r>
  <r>
    <x v="2"/>
    <s v="Gribskov"/>
    <x v="1"/>
    <n v="695956"/>
    <n v="6208568"/>
    <x v="1"/>
    <n v="6"/>
    <x v="3"/>
    <x v="7"/>
    <x v="7"/>
    <x v="1"/>
    <s v=" ="/>
    <n v="18"/>
    <s v="pct TS"/>
  </r>
  <r>
    <x v="0"/>
    <s v="Halsnæs"/>
    <x v="1"/>
    <n v="692735"/>
    <n v="6209960"/>
    <x v="1"/>
    <n v="5"/>
    <x v="5"/>
    <x v="5"/>
    <x v="5"/>
    <x v="10"/>
    <s v=" ="/>
    <n v="16.034000761574099"/>
    <s v="g/kg TS"/>
  </r>
  <r>
    <x v="2"/>
    <s v="Gribskov"/>
    <x v="1"/>
    <n v="695956"/>
    <n v="6208568"/>
    <x v="1"/>
    <n v="2"/>
    <x v="4"/>
    <x v="4"/>
    <x v="4"/>
    <x v="1"/>
    <s v=" ="/>
    <n v="42"/>
    <s v="pct TS"/>
  </r>
  <r>
    <x v="0"/>
    <s v="Halsnæs"/>
    <x v="1"/>
    <n v="692735"/>
    <n v="6209960"/>
    <x v="1"/>
    <n v="2"/>
    <x v="4"/>
    <x v="4"/>
    <x v="4"/>
    <x v="10"/>
    <s v=" ="/>
    <n v="6.50600030901842"/>
    <s v="g/kg TS"/>
  </r>
  <r>
    <x v="0"/>
    <s v="Halsnæs"/>
    <x v="1"/>
    <n v="692735"/>
    <n v="6209960"/>
    <x v="1"/>
    <n v="5"/>
    <x v="5"/>
    <x v="5"/>
    <x v="5"/>
    <x v="0"/>
    <s v=" ="/>
    <n v="170.00000807456701"/>
    <s v="g/kg TS"/>
  </r>
  <r>
    <x v="1"/>
    <s v="Gribskov"/>
    <x v="1"/>
    <n v="694929"/>
    <n v="6209746"/>
    <x v="1"/>
    <n v="4"/>
    <x v="1"/>
    <x v="1"/>
    <x v="1"/>
    <x v="1"/>
    <s v=" ="/>
    <n v="32"/>
    <s v="pct TS"/>
  </r>
  <r>
    <x v="0"/>
    <s v="Halsnæs"/>
    <x v="1"/>
    <n v="692735"/>
    <n v="6209960"/>
    <x v="1"/>
    <n v="2"/>
    <x v="4"/>
    <x v="4"/>
    <x v="4"/>
    <x v="0"/>
    <s v=" ="/>
    <n v="140.00000664964301"/>
    <s v="g/kg TS"/>
  </r>
  <r>
    <x v="0"/>
    <s v="Halsnæs"/>
    <x v="1"/>
    <n v="692735"/>
    <n v="6209960"/>
    <x v="1"/>
    <n v="1"/>
    <x v="2"/>
    <x v="2"/>
    <x v="2"/>
    <x v="0"/>
    <s v=" ="/>
    <n v="140.00000664964301"/>
    <s v="g/kg TS"/>
  </r>
  <r>
    <x v="0"/>
    <s v="Halsnæs"/>
    <x v="1"/>
    <n v="692735"/>
    <n v="6209960"/>
    <x v="1"/>
    <n v="2"/>
    <x v="4"/>
    <x v="4"/>
    <x v="4"/>
    <x v="9"/>
    <s v=" ="/>
    <n v="3.7"/>
    <s v="pct VV"/>
  </r>
  <r>
    <x v="2"/>
    <s v="Gribskov"/>
    <x v="1"/>
    <n v="695956"/>
    <n v="6208568"/>
    <x v="1"/>
    <n v="4"/>
    <x v="1"/>
    <x v="1"/>
    <x v="1"/>
    <x v="3"/>
    <s v=" ="/>
    <n v="20.000000949949001"/>
    <s v="g/kg TS"/>
  </r>
  <r>
    <x v="2"/>
    <s v="Gribskov"/>
    <x v="1"/>
    <n v="695956"/>
    <n v="6208568"/>
    <x v="1"/>
    <n v="2"/>
    <x v="4"/>
    <x v="4"/>
    <x v="4"/>
    <x v="9"/>
    <s v=" ="/>
    <n v="3.9"/>
    <s v="pct VV"/>
  </r>
  <r>
    <x v="2"/>
    <s v="Gribskov"/>
    <x v="1"/>
    <n v="695956"/>
    <n v="6208568"/>
    <x v="1"/>
    <n v="2"/>
    <x v="4"/>
    <x v="4"/>
    <x v="4"/>
    <x v="5"/>
    <s v=" ="/>
    <n v="1.9000000902451599"/>
    <s v="g/kg TS"/>
  </r>
  <r>
    <x v="0"/>
    <s v="Halsnæs"/>
    <x v="1"/>
    <n v="692735"/>
    <n v="6209960"/>
    <x v="1"/>
    <n v="6"/>
    <x v="3"/>
    <x v="9"/>
    <x v="9"/>
    <x v="9"/>
    <s v=" ="/>
    <n v="15"/>
    <s v="pct VV"/>
  </r>
  <r>
    <x v="1"/>
    <s v="Gribskov"/>
    <x v="1"/>
    <n v="694929"/>
    <n v="6209746"/>
    <x v="1"/>
    <n v="6"/>
    <x v="3"/>
    <x v="8"/>
    <x v="8"/>
    <x v="5"/>
    <s v=" ="/>
    <n v="1.07000005082227"/>
    <s v="g/kg TS"/>
  </r>
  <r>
    <x v="0"/>
    <s v="Halsnæs"/>
    <x v="1"/>
    <n v="692735"/>
    <n v="6209960"/>
    <x v="1"/>
    <n v="4"/>
    <x v="1"/>
    <x v="1"/>
    <x v="1"/>
    <x v="3"/>
    <s v=" ="/>
    <n v="18.8600008958019"/>
    <s v="g/kg TS"/>
  </r>
  <r>
    <x v="1"/>
    <s v="Gribskov"/>
    <x v="1"/>
    <n v="694929"/>
    <n v="6209746"/>
    <x v="1"/>
    <n v="1"/>
    <x v="2"/>
    <x v="2"/>
    <x v="2"/>
    <x v="9"/>
    <s v=" ="/>
    <n v="3.3"/>
    <s v="pct VV"/>
  </r>
  <r>
    <x v="1"/>
    <s v="Gribskov"/>
    <x v="1"/>
    <n v="694929"/>
    <n v="6209746"/>
    <x v="1"/>
    <n v="3"/>
    <x v="0"/>
    <x v="0"/>
    <x v="0"/>
    <x v="3"/>
    <s v=" ="/>
    <n v="17.620000836905099"/>
    <s v="g/kg TS"/>
  </r>
  <r>
    <x v="1"/>
    <s v="Gribskov"/>
    <x v="1"/>
    <n v="694929"/>
    <n v="6209746"/>
    <x v="1"/>
    <n v="1"/>
    <x v="2"/>
    <x v="2"/>
    <x v="2"/>
    <x v="3"/>
    <s v=" ="/>
    <n v="24.920001183636501"/>
    <s v="g/kg TS"/>
  </r>
  <r>
    <x v="0"/>
    <s v="Halsnæs"/>
    <x v="1"/>
    <n v="692735"/>
    <n v="6209960"/>
    <x v="1"/>
    <n v="5"/>
    <x v="5"/>
    <x v="5"/>
    <x v="5"/>
    <x v="9"/>
    <s v=" ="/>
    <n v="10"/>
    <s v="pct VV"/>
  </r>
  <r>
    <x v="2"/>
    <s v="Gribskov"/>
    <x v="1"/>
    <n v="695956"/>
    <n v="6208568"/>
    <x v="1"/>
    <n v="1"/>
    <x v="2"/>
    <x v="2"/>
    <x v="2"/>
    <x v="1"/>
    <s v=" ="/>
    <n v="42"/>
    <s v="pct TS"/>
  </r>
  <r>
    <x v="0"/>
    <s v="Halsnæs"/>
    <x v="1"/>
    <n v="692735"/>
    <n v="6209960"/>
    <x v="1"/>
    <n v="5"/>
    <x v="5"/>
    <x v="5"/>
    <x v="5"/>
    <x v="3"/>
    <s v=" ="/>
    <n v="13.740000652615"/>
    <s v="g/kg TS"/>
  </r>
  <r>
    <x v="1"/>
    <s v="Gribskov"/>
    <x v="1"/>
    <n v="694929"/>
    <n v="6209746"/>
    <x v="1"/>
    <n v="6"/>
    <x v="3"/>
    <x v="8"/>
    <x v="8"/>
    <x v="3"/>
    <s v=" ="/>
    <n v="12.890000612242099"/>
    <s v="g/kg TS"/>
  </r>
  <r>
    <x v="0"/>
    <s v="Halsnæs"/>
    <x v="1"/>
    <n v="692735"/>
    <n v="6209960"/>
    <x v="1"/>
    <n v="1"/>
    <x v="2"/>
    <x v="2"/>
    <x v="2"/>
    <x v="9"/>
    <s v=" ="/>
    <n v="2.8"/>
    <s v="pct VV"/>
  </r>
  <r>
    <x v="1"/>
    <s v="Gribskov"/>
    <x v="1"/>
    <n v="694929"/>
    <n v="6209746"/>
    <x v="1"/>
    <n v="1"/>
    <x v="2"/>
    <x v="2"/>
    <x v="2"/>
    <x v="0"/>
    <s v=" ="/>
    <n v="150.00000712461801"/>
    <s v="g/kg TS"/>
  </r>
  <r>
    <x v="1"/>
    <s v="Gribskov"/>
    <x v="1"/>
    <n v="694929"/>
    <n v="6209746"/>
    <x v="1"/>
    <n v="4"/>
    <x v="1"/>
    <x v="1"/>
    <x v="1"/>
    <x v="9"/>
    <s v=" ="/>
    <n v="7.6"/>
    <s v="pct VV"/>
  </r>
  <r>
    <x v="0"/>
    <s v="Halsnæs"/>
    <x v="1"/>
    <n v="692735"/>
    <n v="6209960"/>
    <x v="1"/>
    <n v="1"/>
    <x v="2"/>
    <x v="2"/>
    <x v="2"/>
    <x v="1"/>
    <s v=" ="/>
    <n v="45"/>
    <s v="pct TS"/>
  </r>
  <r>
    <x v="2"/>
    <s v="Gribskov"/>
    <x v="1"/>
    <n v="695956"/>
    <n v="6208568"/>
    <x v="1"/>
    <n v="1"/>
    <x v="2"/>
    <x v="2"/>
    <x v="2"/>
    <x v="3"/>
    <s v=" ="/>
    <n v="24.680001172237102"/>
    <s v="g/kg TS"/>
  </r>
  <r>
    <x v="0"/>
    <s v="Halsnæs"/>
    <x v="1"/>
    <n v="692735"/>
    <n v="6209960"/>
    <x v="1"/>
    <n v="5"/>
    <x v="5"/>
    <x v="5"/>
    <x v="5"/>
    <x v="1"/>
    <s v=" ="/>
    <n v="21"/>
    <s v="pct TS"/>
  </r>
  <r>
    <x v="2"/>
    <s v="Gribskov"/>
    <x v="1"/>
    <n v="695956"/>
    <n v="6208568"/>
    <x v="1"/>
    <n v="1"/>
    <x v="2"/>
    <x v="2"/>
    <x v="2"/>
    <x v="10"/>
    <s v=" ="/>
    <n v="7.8740003739949298"/>
    <s v="g/kg TS"/>
  </r>
  <r>
    <x v="1"/>
    <s v="Gribskov"/>
    <x v="1"/>
    <n v="694929"/>
    <n v="6209746"/>
    <x v="1"/>
    <n v="2"/>
    <x v="4"/>
    <x v="4"/>
    <x v="4"/>
    <x v="0"/>
    <s v=" ="/>
    <n v="150.00000712461801"/>
    <s v="g/kg TS"/>
  </r>
  <r>
    <x v="0"/>
    <s v="Halsnæs"/>
    <x v="1"/>
    <n v="692735"/>
    <n v="6209960"/>
    <x v="1"/>
    <n v="1"/>
    <x v="2"/>
    <x v="2"/>
    <x v="2"/>
    <x v="3"/>
    <s v=" ="/>
    <n v="25.0000011874363"/>
    <s v="g/kg TS"/>
  </r>
  <r>
    <x v="0"/>
    <s v="Halsnæs"/>
    <x v="1"/>
    <n v="692735"/>
    <n v="6209960"/>
    <x v="1"/>
    <n v="3"/>
    <x v="0"/>
    <x v="0"/>
    <x v="0"/>
    <x v="10"/>
    <s v=" ="/>
    <n v="6.6900003177579501"/>
    <s v="g/kg TS"/>
  </r>
  <r>
    <x v="2"/>
    <s v="Gribskov"/>
    <x v="1"/>
    <n v="695956"/>
    <n v="6208568"/>
    <x v="1"/>
    <n v="4"/>
    <x v="1"/>
    <x v="1"/>
    <x v="1"/>
    <x v="1"/>
    <s v=" ="/>
    <n v="36.200000000000003"/>
    <s v="pct TS"/>
  </r>
  <r>
    <x v="1"/>
    <s v="Gribskov"/>
    <x v="1"/>
    <n v="694929"/>
    <n v="6209746"/>
    <x v="1"/>
    <n v="4"/>
    <x v="1"/>
    <x v="1"/>
    <x v="1"/>
    <x v="5"/>
    <s v=" ="/>
    <n v="1.69000008027069"/>
    <s v="g/kg TS"/>
  </r>
  <r>
    <x v="0"/>
    <s v="Halsnæs"/>
    <x v="1"/>
    <n v="692735"/>
    <n v="6209960"/>
    <x v="1"/>
    <n v="3"/>
    <x v="0"/>
    <x v="0"/>
    <x v="0"/>
    <x v="9"/>
    <s v=" ="/>
    <n v="4.8"/>
    <s v="pct VV"/>
  </r>
  <r>
    <x v="2"/>
    <s v="Gribskov"/>
    <x v="1"/>
    <n v="695956"/>
    <n v="6208568"/>
    <x v="1"/>
    <n v="5"/>
    <x v="5"/>
    <x v="5"/>
    <x v="5"/>
    <x v="1"/>
    <s v=" ="/>
    <n v="25"/>
    <s v="pct TS"/>
  </r>
  <r>
    <x v="0"/>
    <s v="Halsnæs"/>
    <x v="1"/>
    <n v="692735"/>
    <n v="6209960"/>
    <x v="1"/>
    <n v="4"/>
    <x v="1"/>
    <x v="1"/>
    <x v="1"/>
    <x v="0"/>
    <s v=" ="/>
    <n v="180.00000854954101"/>
    <s v="g/kg TS"/>
  </r>
  <r>
    <x v="0"/>
    <s v="Halsnæs"/>
    <x v="1"/>
    <n v="692735"/>
    <n v="6209960"/>
    <x v="1"/>
    <n v="6"/>
    <x v="3"/>
    <x v="9"/>
    <x v="9"/>
    <x v="5"/>
    <s v=" ="/>
    <n v="0.59000002802349605"/>
    <s v="g/kg TS"/>
  </r>
  <r>
    <x v="1"/>
    <s v="Gribskov"/>
    <x v="1"/>
    <n v="694929"/>
    <n v="6209746"/>
    <x v="1"/>
    <n v="4"/>
    <x v="1"/>
    <x v="1"/>
    <x v="1"/>
    <x v="10"/>
    <s v=" ="/>
    <n v="10.493000498390799"/>
    <s v="g/kg TS"/>
  </r>
  <r>
    <x v="0"/>
    <s v="Halsnæs"/>
    <x v="1"/>
    <n v="692735"/>
    <n v="6209960"/>
    <x v="1"/>
    <n v="6"/>
    <x v="3"/>
    <x v="9"/>
    <x v="9"/>
    <x v="10"/>
    <s v=" ="/>
    <n v="14.072000668384099"/>
    <s v="g/kg TS"/>
  </r>
  <r>
    <x v="0"/>
    <s v="Halsnæs"/>
    <x v="1"/>
    <n v="692735"/>
    <n v="6209960"/>
    <x v="1"/>
    <n v="4"/>
    <x v="1"/>
    <x v="1"/>
    <x v="1"/>
    <x v="9"/>
    <s v=" ="/>
    <n v="6.3"/>
    <s v="pct VV"/>
  </r>
  <r>
    <x v="2"/>
    <s v="Gribskov"/>
    <x v="1"/>
    <n v="695956"/>
    <n v="6208568"/>
    <x v="1"/>
    <n v="3"/>
    <x v="0"/>
    <x v="0"/>
    <x v="0"/>
    <x v="5"/>
    <s v=" ="/>
    <n v="2.1500001021195199"/>
    <s v="g/kg TS"/>
  </r>
  <r>
    <x v="0"/>
    <s v="Halsnæs"/>
    <x v="1"/>
    <n v="692735"/>
    <n v="6209960"/>
    <x v="1"/>
    <n v="4"/>
    <x v="1"/>
    <x v="1"/>
    <x v="1"/>
    <x v="10"/>
    <s v=" ="/>
    <n v="9.0600004303269106"/>
    <s v="g/kg TS"/>
  </r>
  <r>
    <x v="1"/>
    <s v="Gribskov"/>
    <x v="1"/>
    <n v="694929"/>
    <n v="6209746"/>
    <x v="1"/>
    <n v="2"/>
    <x v="4"/>
    <x v="4"/>
    <x v="4"/>
    <x v="1"/>
    <s v=" ="/>
    <n v="38"/>
    <s v="pct TS"/>
  </r>
  <r>
    <x v="1"/>
    <s v="Gribskov"/>
    <x v="1"/>
    <n v="694929"/>
    <n v="6209746"/>
    <x v="1"/>
    <n v="2"/>
    <x v="4"/>
    <x v="4"/>
    <x v="4"/>
    <x v="10"/>
    <s v=" ="/>
    <n v="6.3050002994714296"/>
    <s v="g/kg TS"/>
  </r>
  <r>
    <x v="1"/>
    <s v="Gribskov"/>
    <x v="1"/>
    <n v="694929"/>
    <n v="6209746"/>
    <x v="1"/>
    <n v="5"/>
    <x v="5"/>
    <x v="5"/>
    <x v="5"/>
    <x v="10"/>
    <s v=" ="/>
    <n v="10.7820005121175"/>
    <s v="g/kg TS"/>
  </r>
  <r>
    <x v="0"/>
    <s v="Halsnæs"/>
    <x v="1"/>
    <n v="692735"/>
    <n v="6209960"/>
    <x v="1"/>
    <n v="1"/>
    <x v="2"/>
    <x v="2"/>
    <x v="2"/>
    <x v="5"/>
    <s v=" ="/>
    <n v="2.10000009974465"/>
    <s v="g/kg TS"/>
  </r>
  <r>
    <x v="2"/>
    <s v="Gribskov"/>
    <x v="1"/>
    <n v="695956"/>
    <n v="6208568"/>
    <x v="1"/>
    <n v="3"/>
    <x v="0"/>
    <x v="0"/>
    <x v="0"/>
    <x v="1"/>
    <s v=" ="/>
    <n v="46"/>
    <s v="pct TS"/>
  </r>
  <r>
    <x v="1"/>
    <s v="Gribskov"/>
    <x v="1"/>
    <n v="694929"/>
    <n v="6209746"/>
    <x v="1"/>
    <n v="5"/>
    <x v="5"/>
    <x v="5"/>
    <x v="5"/>
    <x v="1"/>
    <s v=" ="/>
    <n v="29"/>
    <s v="pct TS"/>
  </r>
  <r>
    <x v="0"/>
    <s v="Halsnæs"/>
    <x v="1"/>
    <n v="692735"/>
    <n v="6209960"/>
    <x v="1"/>
    <n v="3"/>
    <x v="0"/>
    <x v="0"/>
    <x v="0"/>
    <x v="5"/>
    <s v=" ="/>
    <n v="1.6400000778958199"/>
    <s v="g/kg TS"/>
  </r>
  <r>
    <x v="2"/>
    <s v="Gribskov"/>
    <x v="1"/>
    <n v="695956"/>
    <n v="6208568"/>
    <x v="1"/>
    <n v="5"/>
    <x v="5"/>
    <x v="5"/>
    <x v="5"/>
    <x v="3"/>
    <s v=" ="/>
    <n v="18.840000894852"/>
    <s v="g/kg TS"/>
  </r>
  <r>
    <x v="0"/>
    <s v="Halsnæs"/>
    <x v="1"/>
    <n v="692735"/>
    <n v="6209960"/>
    <x v="1"/>
    <n v="2"/>
    <x v="4"/>
    <x v="4"/>
    <x v="4"/>
    <x v="3"/>
    <s v=" ="/>
    <n v="25.800001225434201"/>
    <s v="g/kg TS"/>
  </r>
  <r>
    <x v="0"/>
    <s v="Halsnæs"/>
    <x v="1"/>
    <n v="692735"/>
    <n v="6209960"/>
    <x v="1"/>
    <n v="6"/>
    <x v="3"/>
    <x v="9"/>
    <x v="9"/>
    <x v="3"/>
    <s v=" ="/>
    <n v="9.2200004379264993"/>
    <s v="g/kg TS"/>
  </r>
  <r>
    <x v="2"/>
    <s v="Gribskov"/>
    <x v="1"/>
    <n v="695956"/>
    <n v="6208568"/>
    <x v="1"/>
    <n v="2"/>
    <x v="4"/>
    <x v="4"/>
    <x v="4"/>
    <x v="10"/>
    <s v=" ="/>
    <n v="7.6470003632130101"/>
    <s v="g/kg TS"/>
  </r>
  <r>
    <x v="0"/>
    <s v="Halsnæs"/>
    <x v="1"/>
    <n v="692735"/>
    <n v="6209960"/>
    <x v="1"/>
    <n v="3"/>
    <x v="0"/>
    <x v="0"/>
    <x v="0"/>
    <x v="1"/>
    <s v=" ="/>
    <n v="31"/>
    <s v="pct TS"/>
  </r>
  <r>
    <x v="2"/>
    <s v="Gribskov"/>
    <x v="1"/>
    <n v="695956"/>
    <n v="6208568"/>
    <x v="1"/>
    <n v="2"/>
    <x v="4"/>
    <x v="4"/>
    <x v="4"/>
    <x v="3"/>
    <s v=" ="/>
    <n v="25.140001194085901"/>
    <s v="g/kg TS"/>
  </r>
  <r>
    <x v="1"/>
    <s v="Gribskov"/>
    <x v="1"/>
    <n v="694929"/>
    <n v="6209746"/>
    <x v="1"/>
    <n v="6"/>
    <x v="3"/>
    <x v="8"/>
    <x v="8"/>
    <x v="1"/>
    <s v=" ="/>
    <n v="24"/>
    <s v="pct TS"/>
  </r>
  <r>
    <x v="1"/>
    <s v="Gribskov"/>
    <x v="1"/>
    <n v="694929"/>
    <n v="6209746"/>
    <x v="1"/>
    <n v="3"/>
    <x v="0"/>
    <x v="0"/>
    <x v="0"/>
    <x v="5"/>
    <s v=" ="/>
    <n v="1.56000007409602"/>
    <s v="g/kg TS"/>
  </r>
  <r>
    <x v="1"/>
    <s v="Gribskov"/>
    <x v="1"/>
    <n v="694929"/>
    <n v="6209746"/>
    <x v="1"/>
    <n v="1"/>
    <x v="2"/>
    <x v="2"/>
    <x v="2"/>
    <x v="10"/>
    <s v=" ="/>
    <n v="6.6570003161905298"/>
    <s v="g/kg TS"/>
  </r>
  <r>
    <x v="1"/>
    <s v="Gribskov"/>
    <x v="1"/>
    <n v="694929"/>
    <n v="6209746"/>
    <x v="1"/>
    <n v="1"/>
    <x v="2"/>
    <x v="2"/>
    <x v="2"/>
    <x v="5"/>
    <s v=" ="/>
    <n v="2.0400000968948002"/>
    <s v="g/kg TS"/>
  </r>
  <r>
    <x v="2"/>
    <s v="Gribskov"/>
    <x v="1"/>
    <n v="695956"/>
    <n v="6208568"/>
    <x v="1"/>
    <n v="4"/>
    <x v="1"/>
    <x v="1"/>
    <x v="1"/>
    <x v="0"/>
    <s v=" ="/>
    <n v="180.00000854954101"/>
    <s v="g/kg TS"/>
  </r>
  <r>
    <x v="0"/>
    <s v="Halsnæs"/>
    <x v="1"/>
    <n v="692735"/>
    <n v="6209960"/>
    <x v="1"/>
    <n v="3"/>
    <x v="0"/>
    <x v="0"/>
    <x v="0"/>
    <x v="0"/>
    <s v=" ="/>
    <n v="150.00000712461801"/>
    <s v="g/kg TS"/>
  </r>
  <r>
    <x v="1"/>
    <s v="Gribskov"/>
    <x v="1"/>
    <n v="694929"/>
    <n v="6209746"/>
    <x v="1"/>
    <n v="2"/>
    <x v="4"/>
    <x v="4"/>
    <x v="4"/>
    <x v="3"/>
    <s v=" ="/>
    <n v="20.520000974647701"/>
    <s v="g/kg TS"/>
  </r>
  <r>
    <x v="0"/>
    <s v="Halsnæs"/>
    <x v="1"/>
    <n v="692735"/>
    <n v="6209960"/>
    <x v="1"/>
    <n v="3"/>
    <x v="0"/>
    <x v="0"/>
    <x v="0"/>
    <x v="3"/>
    <s v=" ="/>
    <n v="24.140001146588499"/>
    <s v="g/kg TS"/>
  </r>
  <r>
    <x v="0"/>
    <s v="Halsnæs"/>
    <x v="1"/>
    <n v="692735"/>
    <n v="6209960"/>
    <x v="1"/>
    <n v="6"/>
    <x v="3"/>
    <x v="9"/>
    <x v="9"/>
    <x v="1"/>
    <s v=" ="/>
    <n v="17"/>
    <s v="pct TS"/>
  </r>
  <r>
    <x v="0"/>
    <s v="Halsnæs"/>
    <x v="1"/>
    <n v="692735"/>
    <n v="6209960"/>
    <x v="1"/>
    <n v="4"/>
    <x v="1"/>
    <x v="1"/>
    <x v="1"/>
    <x v="5"/>
    <s v=" ="/>
    <n v="1.55000007362105"/>
    <s v="g/kg TS"/>
  </r>
  <r>
    <x v="1"/>
    <s v="Gribskov"/>
    <x v="1"/>
    <n v="694929"/>
    <n v="6209746"/>
    <x v="1"/>
    <n v="5"/>
    <x v="5"/>
    <x v="5"/>
    <x v="5"/>
    <x v="9"/>
    <s v=" ="/>
    <n v="9"/>
    <s v="pct VV"/>
  </r>
  <r>
    <x v="2"/>
    <s v="Gribskov"/>
    <x v="1"/>
    <n v="695956"/>
    <n v="6208568"/>
    <x v="1"/>
    <n v="6"/>
    <x v="3"/>
    <x v="7"/>
    <x v="7"/>
    <x v="10"/>
    <s v=" ="/>
    <n v="14.6000006934628"/>
    <s v="g/kg TS"/>
  </r>
  <r>
    <x v="2"/>
    <s v="Gribskov"/>
    <x v="1"/>
    <n v="695956"/>
    <n v="6208568"/>
    <x v="1"/>
    <n v="6"/>
    <x v="3"/>
    <x v="7"/>
    <x v="7"/>
    <x v="5"/>
    <s v=" ="/>
    <n v="0.87000004132278297"/>
    <s v="g/kg TS"/>
  </r>
  <r>
    <x v="2"/>
    <s v="Gribskov"/>
    <x v="1"/>
    <n v="695956"/>
    <n v="6208568"/>
    <x v="1"/>
    <n v="5"/>
    <x v="5"/>
    <x v="5"/>
    <x v="5"/>
    <x v="9"/>
    <s v=" ="/>
    <n v="9.6"/>
    <s v="pct VV"/>
  </r>
  <r>
    <x v="1"/>
    <s v="Gribskov"/>
    <x v="1"/>
    <n v="694929"/>
    <n v="6209746"/>
    <x v="1"/>
    <n v="3"/>
    <x v="0"/>
    <x v="0"/>
    <x v="0"/>
    <x v="1"/>
    <s v=" ="/>
    <n v="35"/>
    <s v="pct TS"/>
  </r>
  <r>
    <x v="2"/>
    <s v="Gribskov"/>
    <x v="1"/>
    <n v="695956"/>
    <n v="6208568"/>
    <x v="1"/>
    <n v="1"/>
    <x v="2"/>
    <x v="2"/>
    <x v="2"/>
    <x v="0"/>
    <s v=" ="/>
    <n v="160.00000759959201"/>
    <s v="g/kg TS"/>
  </r>
  <r>
    <x v="1"/>
    <s v="Gribskov"/>
    <x v="1"/>
    <n v="694929"/>
    <n v="6209746"/>
    <x v="1"/>
    <n v="5"/>
    <x v="5"/>
    <x v="5"/>
    <x v="5"/>
    <x v="0"/>
    <s v=" ="/>
    <n v="170.00000807456701"/>
    <s v="g/kg TS"/>
  </r>
  <r>
    <x v="2"/>
    <s v="Gribskov"/>
    <x v="1"/>
    <n v="695956"/>
    <n v="6208568"/>
    <x v="1"/>
    <n v="2"/>
    <x v="4"/>
    <x v="4"/>
    <x v="4"/>
    <x v="0"/>
    <s v=" ="/>
    <n v="179.95400854735601"/>
    <s v="g/kg TS"/>
  </r>
  <r>
    <x v="2"/>
    <s v="Gribskov"/>
    <x v="1"/>
    <n v="695956"/>
    <n v="6208568"/>
    <x v="1"/>
    <n v="3"/>
    <x v="0"/>
    <x v="0"/>
    <x v="0"/>
    <x v="3"/>
    <s v=" ="/>
    <n v="27.630001312354601"/>
    <s v="g/kg TS"/>
  </r>
  <r>
    <x v="2"/>
    <s v="Gribskov"/>
    <x v="1"/>
    <n v="695956"/>
    <n v="6208568"/>
    <x v="1"/>
    <n v="4"/>
    <x v="1"/>
    <x v="1"/>
    <x v="1"/>
    <x v="9"/>
    <s v=" ="/>
    <n v="6.1"/>
    <s v="pct VV"/>
  </r>
  <r>
    <x v="0"/>
    <s v="Halsnæs"/>
    <x v="1"/>
    <n v="692735"/>
    <n v="6209960"/>
    <x v="1"/>
    <n v="4"/>
    <x v="1"/>
    <x v="1"/>
    <x v="1"/>
    <x v="1"/>
    <s v=" ="/>
    <n v="34"/>
    <s v="pct TS"/>
  </r>
  <r>
    <x v="2"/>
    <s v="Gribskov"/>
    <x v="1"/>
    <n v="695956"/>
    <n v="6208568"/>
    <x v="1"/>
    <n v="6"/>
    <x v="3"/>
    <x v="7"/>
    <x v="7"/>
    <x v="9"/>
    <s v=" ="/>
    <n v="13"/>
    <s v="pct VV"/>
  </r>
  <r>
    <x v="2"/>
    <s v="Gribskov"/>
    <x v="1"/>
    <n v="695956"/>
    <n v="6208568"/>
    <x v="1"/>
    <n v="3"/>
    <x v="0"/>
    <x v="0"/>
    <x v="0"/>
    <x v="9"/>
    <s v=" ="/>
    <n v="4.2"/>
    <s v="pct VV"/>
  </r>
  <r>
    <x v="0"/>
    <s v="Halsnæs"/>
    <x v="1"/>
    <n v="692735"/>
    <n v="6209960"/>
    <x v="1"/>
    <n v="2"/>
    <x v="4"/>
    <x v="4"/>
    <x v="4"/>
    <x v="5"/>
    <s v=" ="/>
    <n v="2.2000001044943902"/>
    <s v="g/kg TS"/>
  </r>
  <r>
    <x v="1"/>
    <s v="Gribskov"/>
    <x v="1"/>
    <n v="694929"/>
    <n v="6209746"/>
    <x v="1"/>
    <n v="2"/>
    <x v="4"/>
    <x v="4"/>
    <x v="4"/>
    <x v="5"/>
    <s v=" ="/>
    <n v="1.7000000807456701"/>
    <s v="g/kg TS"/>
  </r>
  <r>
    <x v="0"/>
    <s v="Halsnæs"/>
    <x v="1"/>
    <n v="692735"/>
    <n v="6209960"/>
    <x v="1"/>
    <n v="6"/>
    <x v="3"/>
    <x v="9"/>
    <x v="9"/>
    <x v="0"/>
    <s v=" ="/>
    <n v="130.00000617466901"/>
    <s v="g/kg TS"/>
  </r>
  <r>
    <x v="2"/>
    <s v="Gribskov"/>
    <x v="1"/>
    <n v="695956"/>
    <n v="6208568"/>
    <x v="1"/>
    <n v="4"/>
    <x v="1"/>
    <x v="1"/>
    <x v="1"/>
    <x v="10"/>
    <s v=" ="/>
    <n v="9.1000004322268104"/>
    <s v="g/kg TS"/>
  </r>
  <r>
    <x v="1"/>
    <s v="Gribskov"/>
    <x v="1"/>
    <n v="694929"/>
    <n v="6209746"/>
    <x v="1"/>
    <n v="5"/>
    <x v="5"/>
    <x v="5"/>
    <x v="5"/>
    <x v="3"/>
    <s v=" ="/>
    <n v="17.350000824080801"/>
    <s v="g/kg TS"/>
  </r>
  <r>
    <x v="1"/>
    <s v="Gribskov"/>
    <x v="1"/>
    <n v="694929"/>
    <n v="6209746"/>
    <x v="1"/>
    <n v="3"/>
    <x v="0"/>
    <x v="0"/>
    <x v="0"/>
    <x v="9"/>
    <s v=" ="/>
    <n v="6.5"/>
    <s v="pct VV"/>
  </r>
  <r>
    <x v="2"/>
    <s v="Gribskov"/>
    <x v="2"/>
    <n v="695956"/>
    <n v="6208568"/>
    <x v="1"/>
    <n v="1"/>
    <x v="2"/>
    <x v="2"/>
    <x v="2"/>
    <x v="3"/>
    <s v=" ="/>
    <n v="15.70000074571"/>
    <s v="g/kg TS"/>
  </r>
  <r>
    <x v="2"/>
    <s v="Gribskov"/>
    <x v="2"/>
    <n v="695956"/>
    <n v="6208568"/>
    <x v="1"/>
    <n v="5"/>
    <x v="5"/>
    <x v="5"/>
    <x v="5"/>
    <x v="0"/>
    <s v=" ="/>
    <n v="64.500003063585595"/>
    <s v="g/kg TS"/>
  </r>
  <r>
    <x v="1"/>
    <s v="Gribskov"/>
    <x v="2"/>
    <n v="694929"/>
    <n v="6209746"/>
    <x v="1"/>
    <n v="1"/>
    <x v="2"/>
    <x v="2"/>
    <x v="2"/>
    <x v="9"/>
    <s v=" ="/>
    <n v="4.1100000000000003"/>
    <s v="pct VV"/>
  </r>
  <r>
    <x v="2"/>
    <s v="Gribskov"/>
    <x v="2"/>
    <n v="695956"/>
    <n v="6208568"/>
    <x v="1"/>
    <n v="2"/>
    <x v="4"/>
    <x v="4"/>
    <x v="4"/>
    <x v="3"/>
    <s v=" ="/>
    <n v="10.800000512972501"/>
    <s v="g/kg TS"/>
  </r>
  <r>
    <x v="0"/>
    <s v="Halsnæs"/>
    <x v="2"/>
    <n v="692735"/>
    <n v="6209960"/>
    <x v="1"/>
    <n v="3"/>
    <x v="0"/>
    <x v="0"/>
    <x v="0"/>
    <x v="3"/>
    <s v=" ="/>
    <n v="9.7500004631001502"/>
    <s v="g/kg TS"/>
  </r>
  <r>
    <x v="1"/>
    <s v="Gribskov"/>
    <x v="2"/>
    <n v="694929"/>
    <n v="6209746"/>
    <x v="1"/>
    <n v="4"/>
    <x v="1"/>
    <x v="1"/>
    <x v="1"/>
    <x v="0"/>
    <s v=" ="/>
    <n v="173.00000821705899"/>
    <s v="g/kg TS"/>
  </r>
  <r>
    <x v="2"/>
    <s v="Gribskov"/>
    <x v="2"/>
    <n v="695956"/>
    <n v="6208568"/>
    <x v="1"/>
    <n v="5"/>
    <x v="5"/>
    <x v="5"/>
    <x v="5"/>
    <x v="3"/>
    <s v=" ="/>
    <n v="1.17000005557202"/>
    <s v="g/kg TS"/>
  </r>
  <r>
    <x v="0"/>
    <s v="Halsnæs"/>
    <x v="2"/>
    <n v="692735"/>
    <n v="6209960"/>
    <x v="1"/>
    <n v="4"/>
    <x v="1"/>
    <x v="1"/>
    <x v="1"/>
    <x v="10"/>
    <s v=" ="/>
    <n v="12.4000005889684"/>
    <s v="g/kg TS"/>
  </r>
  <r>
    <x v="0"/>
    <s v="Halsnæs"/>
    <x v="2"/>
    <n v="692735"/>
    <n v="6209960"/>
    <x v="1"/>
    <n v="4"/>
    <x v="1"/>
    <x v="1"/>
    <x v="1"/>
    <x v="5"/>
    <s v=" ="/>
    <n v="0.66200003144331299"/>
    <s v="g/kg TS"/>
  </r>
  <r>
    <x v="1"/>
    <s v="Gribskov"/>
    <x v="2"/>
    <n v="694929"/>
    <n v="6209746"/>
    <x v="1"/>
    <n v="5"/>
    <x v="5"/>
    <x v="5"/>
    <x v="5"/>
    <x v="9"/>
    <s v=" ="/>
    <n v="14.5"/>
    <s v="pct VV"/>
  </r>
  <r>
    <x v="1"/>
    <s v="Gribskov"/>
    <x v="2"/>
    <n v="694929"/>
    <n v="6209746"/>
    <x v="1"/>
    <n v="6"/>
    <x v="3"/>
    <x v="10"/>
    <x v="10"/>
    <x v="0"/>
    <s v=" ="/>
    <n v="106.00000503472999"/>
    <s v="g/kg TS"/>
  </r>
  <r>
    <x v="1"/>
    <s v="Gribskov"/>
    <x v="2"/>
    <n v="694929"/>
    <n v="6209746"/>
    <x v="1"/>
    <n v="3"/>
    <x v="0"/>
    <x v="0"/>
    <x v="0"/>
    <x v="5"/>
    <s v=" ="/>
    <n v="0.842000039992854"/>
    <s v="g/kg TS"/>
  </r>
  <r>
    <x v="2"/>
    <s v="Gribskov"/>
    <x v="2"/>
    <n v="695956"/>
    <n v="6208568"/>
    <x v="1"/>
    <n v="4"/>
    <x v="1"/>
    <x v="1"/>
    <x v="1"/>
    <x v="1"/>
    <s v=" ="/>
    <n v="18.100000000000001"/>
    <s v="pct TS"/>
  </r>
  <r>
    <x v="1"/>
    <s v="Gribskov"/>
    <x v="2"/>
    <n v="694929"/>
    <n v="6209746"/>
    <x v="1"/>
    <n v="3"/>
    <x v="0"/>
    <x v="0"/>
    <x v="0"/>
    <x v="3"/>
    <s v=" ="/>
    <n v="12.5000005937181"/>
    <s v="g/kg TS"/>
  </r>
  <r>
    <x v="0"/>
    <s v="Halsnæs"/>
    <x v="2"/>
    <n v="692735"/>
    <n v="6209960"/>
    <x v="1"/>
    <n v="4"/>
    <x v="1"/>
    <x v="1"/>
    <x v="1"/>
    <x v="1"/>
    <s v=" ="/>
    <n v="17.600000000000001"/>
    <s v="pct TS"/>
  </r>
  <r>
    <x v="1"/>
    <s v="Gribskov"/>
    <x v="2"/>
    <n v="694929"/>
    <n v="6209746"/>
    <x v="1"/>
    <n v="3"/>
    <x v="0"/>
    <x v="0"/>
    <x v="0"/>
    <x v="1"/>
    <s v=" ="/>
    <n v="20.3"/>
    <s v="pct TS"/>
  </r>
  <r>
    <x v="0"/>
    <s v="Halsnæs"/>
    <x v="2"/>
    <n v="692735"/>
    <n v="6209960"/>
    <x v="1"/>
    <n v="5"/>
    <x v="5"/>
    <x v="5"/>
    <x v="5"/>
    <x v="0"/>
    <s v=" ="/>
    <n v="158.00000750459699"/>
    <s v="g/kg TS"/>
  </r>
  <r>
    <x v="0"/>
    <s v="Halsnæs"/>
    <x v="2"/>
    <n v="692735"/>
    <n v="6209960"/>
    <x v="1"/>
    <n v="2"/>
    <x v="4"/>
    <x v="4"/>
    <x v="4"/>
    <x v="1"/>
    <s v=" ="/>
    <n v="19.8"/>
    <s v="pct TS"/>
  </r>
  <r>
    <x v="2"/>
    <s v="Gribskov"/>
    <x v="2"/>
    <n v="695956"/>
    <n v="6208568"/>
    <x v="1"/>
    <n v="2"/>
    <x v="4"/>
    <x v="4"/>
    <x v="4"/>
    <x v="10"/>
    <s v=" ="/>
    <n v="14.000000664964301"/>
    <s v="g/kg TS"/>
  </r>
  <r>
    <x v="2"/>
    <s v="Gribskov"/>
    <x v="2"/>
    <n v="695956"/>
    <n v="6208568"/>
    <x v="1"/>
    <n v="2"/>
    <x v="4"/>
    <x v="4"/>
    <x v="4"/>
    <x v="1"/>
    <s v=" ="/>
    <n v="21"/>
    <s v="pct TS"/>
  </r>
  <r>
    <x v="0"/>
    <s v="Halsnæs"/>
    <x v="2"/>
    <n v="692735"/>
    <n v="6209960"/>
    <x v="1"/>
    <n v="3"/>
    <x v="0"/>
    <x v="0"/>
    <x v="0"/>
    <x v="1"/>
    <s v=" ="/>
    <n v="16.600000000000001"/>
    <s v="pct TS"/>
  </r>
  <r>
    <x v="1"/>
    <s v="Gribskov"/>
    <x v="2"/>
    <n v="694929"/>
    <n v="6209746"/>
    <x v="1"/>
    <n v="1"/>
    <x v="2"/>
    <x v="2"/>
    <x v="2"/>
    <x v="3"/>
    <s v=" ="/>
    <n v="15.8000007504597"/>
    <s v="g/kg TS"/>
  </r>
  <r>
    <x v="0"/>
    <s v="Halsnæs"/>
    <x v="2"/>
    <n v="692735"/>
    <n v="6209960"/>
    <x v="1"/>
    <n v="1"/>
    <x v="2"/>
    <x v="2"/>
    <x v="2"/>
    <x v="0"/>
    <s v=" ="/>
    <n v="140.00000664964301"/>
    <s v="g/kg TS"/>
  </r>
  <r>
    <x v="0"/>
    <s v="Halsnæs"/>
    <x v="2"/>
    <n v="692735"/>
    <n v="6209960"/>
    <x v="1"/>
    <n v="3"/>
    <x v="0"/>
    <x v="0"/>
    <x v="0"/>
    <x v="10"/>
    <s v=" ="/>
    <n v="13.5000006412156"/>
    <s v="g/kg TS"/>
  </r>
  <r>
    <x v="1"/>
    <s v="Gribskov"/>
    <x v="2"/>
    <n v="694929"/>
    <n v="6209746"/>
    <x v="1"/>
    <n v="6"/>
    <x v="3"/>
    <x v="10"/>
    <x v="10"/>
    <x v="5"/>
    <s v=" ="/>
    <n v="0.59500002826098397"/>
    <s v="g/kg TS"/>
  </r>
  <r>
    <x v="0"/>
    <s v="Halsnæs"/>
    <x v="2"/>
    <n v="692735"/>
    <n v="6209960"/>
    <x v="1"/>
    <n v="2"/>
    <x v="4"/>
    <x v="4"/>
    <x v="4"/>
    <x v="9"/>
    <s v=" ="/>
    <n v="16.5"/>
    <s v="pct VV"/>
  </r>
  <r>
    <x v="0"/>
    <s v="Halsnæs"/>
    <x v="2"/>
    <n v="692735"/>
    <n v="6209960"/>
    <x v="1"/>
    <n v="6"/>
    <x v="3"/>
    <x v="10"/>
    <x v="10"/>
    <x v="0"/>
    <s v=" ="/>
    <n v="197.00000935699799"/>
    <s v="g/kg TS"/>
  </r>
  <r>
    <x v="0"/>
    <s v="Halsnæs"/>
    <x v="2"/>
    <n v="692735"/>
    <n v="6209960"/>
    <x v="1"/>
    <n v="5"/>
    <x v="5"/>
    <x v="5"/>
    <x v="5"/>
    <x v="5"/>
    <s v=" ="/>
    <n v="0.48100002284627402"/>
    <s v="g/kg TS"/>
  </r>
  <r>
    <x v="0"/>
    <s v="Halsnæs"/>
    <x v="2"/>
    <n v="692735"/>
    <n v="6209960"/>
    <x v="1"/>
    <n v="5"/>
    <x v="5"/>
    <x v="5"/>
    <x v="5"/>
    <x v="1"/>
    <s v=" ="/>
    <n v="17.7"/>
    <s v="pct TS"/>
  </r>
  <r>
    <x v="1"/>
    <s v="Gribskov"/>
    <x v="2"/>
    <n v="694929"/>
    <n v="6209746"/>
    <x v="1"/>
    <n v="4"/>
    <x v="1"/>
    <x v="1"/>
    <x v="1"/>
    <x v="3"/>
    <s v=" ="/>
    <n v="11.800000560469901"/>
    <s v="g/kg TS"/>
  </r>
  <r>
    <x v="1"/>
    <s v="Gribskov"/>
    <x v="2"/>
    <n v="694929"/>
    <n v="6209746"/>
    <x v="1"/>
    <n v="4"/>
    <x v="1"/>
    <x v="1"/>
    <x v="1"/>
    <x v="9"/>
    <s v=" ="/>
    <n v="14.1"/>
    <s v="pct VV"/>
  </r>
  <r>
    <x v="2"/>
    <s v="Gribskov"/>
    <x v="2"/>
    <n v="695956"/>
    <n v="6208568"/>
    <x v="1"/>
    <n v="6"/>
    <x v="3"/>
    <x v="10"/>
    <x v="10"/>
    <x v="3"/>
    <s v=" ="/>
    <n v="13.700000650715101"/>
    <s v="g/kg TS"/>
  </r>
  <r>
    <x v="1"/>
    <s v="Gribskov"/>
    <x v="2"/>
    <n v="694929"/>
    <n v="6209746"/>
    <x v="1"/>
    <n v="1"/>
    <x v="2"/>
    <x v="2"/>
    <x v="2"/>
    <x v="10"/>
    <s v=" ="/>
    <n v="10.970000521047"/>
    <s v="g/kg TS"/>
  </r>
  <r>
    <x v="2"/>
    <s v="Gribskov"/>
    <x v="2"/>
    <n v="695956"/>
    <n v="6208568"/>
    <x v="1"/>
    <n v="1"/>
    <x v="2"/>
    <x v="2"/>
    <x v="2"/>
    <x v="9"/>
    <s v=" ="/>
    <n v="6.41"/>
    <s v="pct VV"/>
  </r>
  <r>
    <x v="1"/>
    <s v="Gribskov"/>
    <x v="2"/>
    <n v="694929"/>
    <n v="6209746"/>
    <x v="1"/>
    <n v="2"/>
    <x v="4"/>
    <x v="4"/>
    <x v="4"/>
    <x v="5"/>
    <s v=" ="/>
    <n v="1.3200000626966399"/>
    <s v="g/kg TS"/>
  </r>
  <r>
    <x v="2"/>
    <s v="Gribskov"/>
    <x v="2"/>
    <n v="695956"/>
    <n v="6208568"/>
    <x v="1"/>
    <n v="3"/>
    <x v="0"/>
    <x v="0"/>
    <x v="0"/>
    <x v="9"/>
    <s v=" ="/>
    <n v="20.3"/>
    <s v="pct VV"/>
  </r>
  <r>
    <x v="2"/>
    <s v="Gribskov"/>
    <x v="2"/>
    <n v="695956"/>
    <n v="6208568"/>
    <x v="1"/>
    <n v="5"/>
    <x v="5"/>
    <x v="5"/>
    <x v="5"/>
    <x v="5"/>
    <s v=" ="/>
    <n v="0.57900002750102397"/>
    <s v="g/kg TS"/>
  </r>
  <r>
    <x v="2"/>
    <s v="Gribskov"/>
    <x v="2"/>
    <n v="695956"/>
    <n v="6208568"/>
    <x v="1"/>
    <n v="2"/>
    <x v="4"/>
    <x v="4"/>
    <x v="4"/>
    <x v="5"/>
    <s v=" ="/>
    <n v="0.79600003780797102"/>
    <s v="g/kg TS"/>
  </r>
  <r>
    <x v="2"/>
    <s v="Gribskov"/>
    <x v="2"/>
    <n v="695956"/>
    <n v="6208568"/>
    <x v="1"/>
    <n v="4"/>
    <x v="1"/>
    <x v="1"/>
    <x v="1"/>
    <x v="3"/>
    <s v=" ="/>
    <n v="9.8600004683248699"/>
    <s v="g/kg TS"/>
  </r>
  <r>
    <x v="2"/>
    <s v="Gribskov"/>
    <x v="2"/>
    <n v="695956"/>
    <n v="6208568"/>
    <x v="1"/>
    <n v="1"/>
    <x v="2"/>
    <x v="2"/>
    <x v="2"/>
    <x v="10"/>
    <s v=" ="/>
    <n v="16.300000774208499"/>
    <s v="g/kg TS"/>
  </r>
  <r>
    <x v="1"/>
    <s v="Gribskov"/>
    <x v="2"/>
    <n v="694929"/>
    <n v="6209746"/>
    <x v="1"/>
    <n v="6"/>
    <x v="3"/>
    <x v="10"/>
    <x v="10"/>
    <x v="3"/>
    <s v=" ="/>
    <n v="12.300000584218701"/>
    <s v="g/kg TS"/>
  </r>
  <r>
    <x v="2"/>
    <s v="Gribskov"/>
    <x v="2"/>
    <n v="695956"/>
    <n v="6208568"/>
    <x v="1"/>
    <n v="1"/>
    <x v="2"/>
    <x v="2"/>
    <x v="2"/>
    <x v="5"/>
    <s v=" ="/>
    <n v="1.1800000560469901"/>
    <s v="g/kg TS"/>
  </r>
  <r>
    <x v="0"/>
    <s v="Halsnæs"/>
    <x v="2"/>
    <n v="692735"/>
    <n v="6209960"/>
    <x v="1"/>
    <n v="6"/>
    <x v="3"/>
    <x v="10"/>
    <x v="10"/>
    <x v="5"/>
    <s v=" ="/>
    <n v="0.48500002303626399"/>
    <s v="g/kg TS"/>
  </r>
  <r>
    <x v="1"/>
    <s v="Gribskov"/>
    <x v="2"/>
    <n v="694929"/>
    <n v="6209746"/>
    <x v="1"/>
    <n v="2"/>
    <x v="4"/>
    <x v="4"/>
    <x v="4"/>
    <x v="1"/>
    <s v=" ="/>
    <n v="27"/>
    <s v="pct TS"/>
  </r>
  <r>
    <x v="2"/>
    <s v="Gribskov"/>
    <x v="2"/>
    <n v="695956"/>
    <n v="6208568"/>
    <x v="1"/>
    <n v="3"/>
    <x v="0"/>
    <x v="0"/>
    <x v="0"/>
    <x v="10"/>
    <s v=" ="/>
    <n v="14.000000664964301"/>
    <s v="g/kg TS"/>
  </r>
  <r>
    <x v="0"/>
    <s v="Halsnæs"/>
    <x v="2"/>
    <n v="692735"/>
    <n v="6209960"/>
    <x v="1"/>
    <n v="1"/>
    <x v="2"/>
    <x v="2"/>
    <x v="2"/>
    <x v="9"/>
    <s v=" ="/>
    <n v="5.7"/>
    <s v="pct VV"/>
  </r>
  <r>
    <x v="0"/>
    <s v="Halsnæs"/>
    <x v="2"/>
    <n v="692735"/>
    <n v="6209960"/>
    <x v="1"/>
    <n v="3"/>
    <x v="0"/>
    <x v="0"/>
    <x v="0"/>
    <x v="0"/>
    <s v=" ="/>
    <n v="130.00000617466901"/>
    <s v="g/kg TS"/>
  </r>
  <r>
    <x v="1"/>
    <s v="Gribskov"/>
    <x v="2"/>
    <n v="694929"/>
    <n v="6209746"/>
    <x v="1"/>
    <n v="6"/>
    <x v="3"/>
    <x v="10"/>
    <x v="10"/>
    <x v="1"/>
    <s v=" ="/>
    <n v="20.7"/>
    <s v="pct TS"/>
  </r>
  <r>
    <x v="0"/>
    <s v="Halsnæs"/>
    <x v="2"/>
    <n v="692735"/>
    <n v="6209960"/>
    <x v="1"/>
    <n v="1"/>
    <x v="2"/>
    <x v="2"/>
    <x v="2"/>
    <x v="10"/>
    <s v=" ="/>
    <n v="13.700000650715101"/>
    <s v="g/kg TS"/>
  </r>
  <r>
    <x v="0"/>
    <s v="Halsnæs"/>
    <x v="2"/>
    <n v="692735"/>
    <n v="6209960"/>
    <x v="1"/>
    <n v="2"/>
    <x v="4"/>
    <x v="4"/>
    <x v="4"/>
    <x v="5"/>
    <s v=" ="/>
    <n v="0.67500003206077996"/>
    <s v="g/kg TS"/>
  </r>
  <r>
    <x v="2"/>
    <s v="Gribskov"/>
    <x v="2"/>
    <n v="695956"/>
    <n v="6208568"/>
    <x v="1"/>
    <n v="4"/>
    <x v="1"/>
    <x v="1"/>
    <x v="1"/>
    <x v="5"/>
    <s v=" ="/>
    <n v="0.56900002702605001"/>
    <s v="g/kg TS"/>
  </r>
  <r>
    <x v="2"/>
    <s v="Gribskov"/>
    <x v="2"/>
    <n v="695956"/>
    <n v="6208568"/>
    <x v="1"/>
    <n v="5"/>
    <x v="5"/>
    <x v="5"/>
    <x v="5"/>
    <x v="1"/>
    <s v=" ="/>
    <n v="18.100000000000001"/>
    <s v="pct TS"/>
  </r>
  <r>
    <x v="0"/>
    <s v="Halsnæs"/>
    <x v="2"/>
    <n v="692735"/>
    <n v="6209960"/>
    <x v="1"/>
    <n v="1"/>
    <x v="2"/>
    <x v="2"/>
    <x v="2"/>
    <x v="3"/>
    <s v=" ="/>
    <n v="14.800000702962301"/>
    <s v="g/kg TS"/>
  </r>
  <r>
    <x v="0"/>
    <s v="Halsnæs"/>
    <x v="2"/>
    <n v="692735"/>
    <n v="6209960"/>
    <x v="1"/>
    <n v="2"/>
    <x v="4"/>
    <x v="4"/>
    <x v="4"/>
    <x v="3"/>
    <s v=" ="/>
    <n v="10.700000508222701"/>
    <s v="g/kg TS"/>
  </r>
  <r>
    <x v="0"/>
    <s v="Halsnæs"/>
    <x v="2"/>
    <n v="692735"/>
    <n v="6209960"/>
    <x v="1"/>
    <n v="2"/>
    <x v="4"/>
    <x v="4"/>
    <x v="4"/>
    <x v="10"/>
    <s v=" ="/>
    <n v="11.900000565219701"/>
    <s v="g/kg TS"/>
  </r>
  <r>
    <x v="0"/>
    <s v="Halsnæs"/>
    <x v="2"/>
    <n v="692735"/>
    <n v="6209960"/>
    <x v="1"/>
    <n v="5"/>
    <x v="5"/>
    <x v="5"/>
    <x v="5"/>
    <x v="9"/>
    <s v=" ="/>
    <n v="21.6"/>
    <s v="pct VV"/>
  </r>
  <r>
    <x v="1"/>
    <s v="Gribskov"/>
    <x v="2"/>
    <n v="694929"/>
    <n v="6209746"/>
    <x v="1"/>
    <n v="5"/>
    <x v="5"/>
    <x v="5"/>
    <x v="5"/>
    <x v="1"/>
    <s v=" ="/>
    <n v="20"/>
    <s v="pct TS"/>
  </r>
  <r>
    <x v="2"/>
    <s v="Gribskov"/>
    <x v="2"/>
    <n v="695956"/>
    <n v="6208568"/>
    <x v="1"/>
    <n v="4"/>
    <x v="1"/>
    <x v="1"/>
    <x v="1"/>
    <x v="10"/>
    <s v=" ="/>
    <n v="16.400000778958201"/>
    <s v="g/kg TS"/>
  </r>
  <r>
    <x v="2"/>
    <s v="Gribskov"/>
    <x v="2"/>
    <n v="695956"/>
    <n v="6208568"/>
    <x v="1"/>
    <n v="6"/>
    <x v="3"/>
    <x v="10"/>
    <x v="10"/>
    <x v="1"/>
    <s v=" ="/>
    <n v="20.6"/>
    <s v="pct TS"/>
  </r>
  <r>
    <x v="0"/>
    <s v="Halsnæs"/>
    <x v="2"/>
    <n v="692735"/>
    <n v="6209960"/>
    <x v="1"/>
    <n v="1"/>
    <x v="2"/>
    <x v="2"/>
    <x v="2"/>
    <x v="5"/>
    <s v=" ="/>
    <n v="1.20000005699694"/>
    <s v="g/kg TS"/>
  </r>
  <r>
    <x v="0"/>
    <s v="Halsnæs"/>
    <x v="2"/>
    <n v="692735"/>
    <n v="6209960"/>
    <x v="1"/>
    <n v="4"/>
    <x v="1"/>
    <x v="1"/>
    <x v="1"/>
    <x v="9"/>
    <s v=" ="/>
    <n v="19.7"/>
    <s v="pct VV"/>
  </r>
  <r>
    <x v="0"/>
    <s v="Halsnæs"/>
    <x v="2"/>
    <n v="692735"/>
    <n v="6209960"/>
    <x v="1"/>
    <n v="3"/>
    <x v="0"/>
    <x v="0"/>
    <x v="0"/>
    <x v="5"/>
    <s v=" ="/>
    <n v="0.697000033105724"/>
    <s v="g/kg TS"/>
  </r>
  <r>
    <x v="0"/>
    <s v="Halsnæs"/>
    <x v="2"/>
    <n v="692735"/>
    <n v="6209960"/>
    <x v="1"/>
    <n v="6"/>
    <x v="3"/>
    <x v="10"/>
    <x v="10"/>
    <x v="3"/>
    <s v=" ="/>
    <n v="9.2500004393514192"/>
    <s v="g/kg TS"/>
  </r>
  <r>
    <x v="1"/>
    <s v="Gribskov"/>
    <x v="2"/>
    <n v="694929"/>
    <n v="6209746"/>
    <x v="1"/>
    <n v="6"/>
    <x v="3"/>
    <x v="10"/>
    <x v="10"/>
    <x v="9"/>
    <s v=" ="/>
    <n v="14.8"/>
    <s v="pct VV"/>
  </r>
  <r>
    <x v="2"/>
    <s v="Gribskov"/>
    <x v="2"/>
    <n v="695956"/>
    <n v="6208568"/>
    <x v="1"/>
    <n v="4"/>
    <x v="1"/>
    <x v="1"/>
    <x v="1"/>
    <x v="0"/>
    <s v=" ="/>
    <n v="56.600002688355801"/>
    <s v="g/kg TS"/>
  </r>
  <r>
    <x v="2"/>
    <s v="Gribskov"/>
    <x v="2"/>
    <n v="695956"/>
    <n v="6208568"/>
    <x v="1"/>
    <n v="6"/>
    <x v="3"/>
    <x v="10"/>
    <x v="10"/>
    <x v="9"/>
    <s v=" ="/>
    <n v="15.2"/>
    <s v="pct VV"/>
  </r>
  <r>
    <x v="0"/>
    <s v="Halsnæs"/>
    <x v="2"/>
    <n v="692735"/>
    <n v="6209960"/>
    <x v="1"/>
    <n v="1"/>
    <x v="2"/>
    <x v="2"/>
    <x v="2"/>
    <x v="1"/>
    <s v=" ="/>
    <n v="26.9"/>
    <s v="pct TS"/>
  </r>
  <r>
    <x v="1"/>
    <s v="Gribskov"/>
    <x v="2"/>
    <n v="694929"/>
    <n v="6209746"/>
    <x v="1"/>
    <n v="2"/>
    <x v="4"/>
    <x v="4"/>
    <x v="4"/>
    <x v="9"/>
    <s v=" ="/>
    <n v="10"/>
    <s v="pct VV"/>
  </r>
  <r>
    <x v="2"/>
    <s v="Gribskov"/>
    <x v="2"/>
    <n v="695956"/>
    <n v="6208568"/>
    <x v="1"/>
    <n v="1"/>
    <x v="2"/>
    <x v="2"/>
    <x v="2"/>
    <x v="0"/>
    <s v=" ="/>
    <n v="19.200000911951101"/>
    <s v="g/kg TS"/>
  </r>
  <r>
    <x v="1"/>
    <s v="Gribskov"/>
    <x v="2"/>
    <n v="694929"/>
    <n v="6209746"/>
    <x v="1"/>
    <n v="2"/>
    <x v="4"/>
    <x v="4"/>
    <x v="4"/>
    <x v="0"/>
    <s v=" ="/>
    <n v="179.00000850204401"/>
    <s v="g/kg TS"/>
  </r>
  <r>
    <x v="0"/>
    <s v="Halsnæs"/>
    <x v="2"/>
    <n v="692735"/>
    <n v="6209960"/>
    <x v="1"/>
    <n v="5"/>
    <x v="5"/>
    <x v="5"/>
    <x v="5"/>
    <x v="10"/>
    <s v=" ="/>
    <n v="9.6600004588253796"/>
    <s v="g/kg TS"/>
  </r>
  <r>
    <x v="0"/>
    <s v="Halsnæs"/>
    <x v="2"/>
    <n v="692735"/>
    <n v="6209960"/>
    <x v="1"/>
    <n v="6"/>
    <x v="3"/>
    <x v="10"/>
    <x v="10"/>
    <x v="1"/>
    <s v=" ="/>
    <n v="17"/>
    <s v="pct TS"/>
  </r>
  <r>
    <x v="2"/>
    <s v="Gribskov"/>
    <x v="2"/>
    <n v="695956"/>
    <n v="6208568"/>
    <x v="1"/>
    <n v="3"/>
    <x v="0"/>
    <x v="0"/>
    <x v="0"/>
    <x v="3"/>
    <s v=" ="/>
    <n v="6.9900003320071802"/>
    <s v="g/kg TS"/>
  </r>
  <r>
    <x v="1"/>
    <s v="Gribskov"/>
    <x v="2"/>
    <n v="694929"/>
    <n v="6209746"/>
    <x v="1"/>
    <n v="3"/>
    <x v="0"/>
    <x v="0"/>
    <x v="0"/>
    <x v="0"/>
    <s v=" ="/>
    <n v="146.000006934628"/>
    <s v="g/kg TS"/>
  </r>
  <r>
    <x v="2"/>
    <s v="Gribskov"/>
    <x v="2"/>
    <n v="695956"/>
    <n v="6208568"/>
    <x v="1"/>
    <n v="2"/>
    <x v="4"/>
    <x v="4"/>
    <x v="4"/>
    <x v="9"/>
    <s v=" ="/>
    <n v="8.5500000000000007"/>
    <s v="pct VV"/>
  </r>
  <r>
    <x v="0"/>
    <s v="Halsnæs"/>
    <x v="2"/>
    <n v="692735"/>
    <n v="6209960"/>
    <x v="1"/>
    <n v="5"/>
    <x v="5"/>
    <x v="5"/>
    <x v="5"/>
    <x v="3"/>
    <s v=" ="/>
    <n v="8.6700004118028993"/>
    <s v="g/kg TS"/>
  </r>
  <r>
    <x v="2"/>
    <s v="Gribskov"/>
    <x v="2"/>
    <n v="695956"/>
    <n v="6208568"/>
    <x v="1"/>
    <n v="3"/>
    <x v="0"/>
    <x v="0"/>
    <x v="0"/>
    <x v="5"/>
    <s v=" ="/>
    <n v="0.44100002094637603"/>
    <s v="g/kg TS"/>
  </r>
  <r>
    <x v="0"/>
    <s v="Halsnæs"/>
    <x v="2"/>
    <n v="692735"/>
    <n v="6209960"/>
    <x v="1"/>
    <n v="4"/>
    <x v="1"/>
    <x v="1"/>
    <x v="1"/>
    <x v="3"/>
    <s v=" ="/>
    <n v="9.0300004289019906"/>
    <s v="g/kg TS"/>
  </r>
  <r>
    <x v="1"/>
    <s v="Gribskov"/>
    <x v="2"/>
    <n v="694929"/>
    <n v="6209746"/>
    <x v="1"/>
    <n v="2"/>
    <x v="4"/>
    <x v="4"/>
    <x v="4"/>
    <x v="10"/>
    <s v=" ="/>
    <n v="13.9000006602146"/>
    <s v="g/kg TS"/>
  </r>
  <r>
    <x v="1"/>
    <s v="Gribskov"/>
    <x v="2"/>
    <n v="694929"/>
    <n v="6209746"/>
    <x v="1"/>
    <n v="1"/>
    <x v="2"/>
    <x v="2"/>
    <x v="2"/>
    <x v="5"/>
    <s v=" ="/>
    <n v="1.46000006934628"/>
    <s v="g/kg TS"/>
  </r>
  <r>
    <x v="1"/>
    <s v="Gribskov"/>
    <x v="2"/>
    <n v="694929"/>
    <n v="6209746"/>
    <x v="1"/>
    <n v="2"/>
    <x v="4"/>
    <x v="4"/>
    <x v="4"/>
    <x v="3"/>
    <s v=" ="/>
    <n v="14.7000006982125"/>
    <s v="g/kg TS"/>
  </r>
  <r>
    <x v="2"/>
    <s v="Gribskov"/>
    <x v="2"/>
    <n v="695956"/>
    <n v="6208568"/>
    <x v="1"/>
    <n v="6"/>
    <x v="3"/>
    <x v="10"/>
    <x v="10"/>
    <x v="0"/>
    <s v=" ="/>
    <n v="71.700003405567301"/>
    <s v="g/kg TS"/>
  </r>
  <r>
    <x v="2"/>
    <s v="Gribskov"/>
    <x v="2"/>
    <n v="695956"/>
    <n v="6208568"/>
    <x v="1"/>
    <n v="2"/>
    <x v="4"/>
    <x v="4"/>
    <x v="4"/>
    <x v="0"/>
    <s v=" ="/>
    <n v="132.000006269664"/>
    <s v="g/kg TS"/>
  </r>
  <r>
    <x v="0"/>
    <s v="Halsnæs"/>
    <x v="2"/>
    <n v="692735"/>
    <n v="6209960"/>
    <x v="1"/>
    <n v="4"/>
    <x v="1"/>
    <x v="1"/>
    <x v="1"/>
    <x v="0"/>
    <s v=" ="/>
    <n v="149.00000707711999"/>
    <s v="g/kg TS"/>
  </r>
  <r>
    <x v="1"/>
    <s v="Gribskov"/>
    <x v="2"/>
    <n v="694929"/>
    <n v="6209746"/>
    <x v="1"/>
    <n v="4"/>
    <x v="1"/>
    <x v="1"/>
    <x v="1"/>
    <x v="5"/>
    <s v=" ="/>
    <n v="0.67600003210827697"/>
    <s v="g/kg TS"/>
  </r>
  <r>
    <x v="1"/>
    <s v="Gribskov"/>
    <x v="2"/>
    <n v="694929"/>
    <n v="6209746"/>
    <x v="1"/>
    <n v="4"/>
    <x v="1"/>
    <x v="1"/>
    <x v="1"/>
    <x v="1"/>
    <s v=" ="/>
    <n v="18.8"/>
    <s v="pct TS"/>
  </r>
  <r>
    <x v="0"/>
    <s v="Halsnæs"/>
    <x v="2"/>
    <n v="692735"/>
    <n v="6209960"/>
    <x v="1"/>
    <n v="6"/>
    <x v="3"/>
    <x v="10"/>
    <x v="10"/>
    <x v="9"/>
    <s v=" ="/>
    <n v="19.7"/>
    <s v="pct VV"/>
  </r>
  <r>
    <x v="2"/>
    <s v="Gribskov"/>
    <x v="2"/>
    <n v="695956"/>
    <n v="6208568"/>
    <x v="1"/>
    <n v="5"/>
    <x v="5"/>
    <x v="5"/>
    <x v="5"/>
    <x v="9"/>
    <s v=" ="/>
    <n v="16.399999999999999"/>
    <s v="pct VV"/>
  </r>
  <r>
    <x v="2"/>
    <s v="Gribskov"/>
    <x v="2"/>
    <n v="695956"/>
    <n v="6208568"/>
    <x v="1"/>
    <n v="6"/>
    <x v="3"/>
    <x v="10"/>
    <x v="10"/>
    <x v="5"/>
    <s v=" ="/>
    <n v="0.57700002740602896"/>
    <s v="g/kg TS"/>
  </r>
  <r>
    <x v="1"/>
    <s v="Gribskov"/>
    <x v="2"/>
    <n v="694929"/>
    <n v="6209746"/>
    <x v="1"/>
    <n v="3"/>
    <x v="0"/>
    <x v="0"/>
    <x v="0"/>
    <x v="9"/>
    <s v=" ="/>
    <n v="11.9"/>
    <s v="pct VV"/>
  </r>
  <r>
    <x v="1"/>
    <s v="Gribskov"/>
    <x v="2"/>
    <n v="694929"/>
    <n v="6209746"/>
    <x v="1"/>
    <n v="1"/>
    <x v="2"/>
    <x v="2"/>
    <x v="2"/>
    <x v="1"/>
    <s v=" ="/>
    <n v="30.6"/>
    <s v="pct TS"/>
  </r>
  <r>
    <x v="2"/>
    <s v="Gribskov"/>
    <x v="2"/>
    <n v="695956"/>
    <n v="6208568"/>
    <x v="1"/>
    <n v="1"/>
    <x v="2"/>
    <x v="2"/>
    <x v="2"/>
    <x v="1"/>
    <s v=" ="/>
    <n v="26.4"/>
    <s v="pct TS"/>
  </r>
  <r>
    <x v="2"/>
    <s v="Gribskov"/>
    <x v="2"/>
    <n v="695956"/>
    <n v="6208568"/>
    <x v="1"/>
    <n v="5"/>
    <x v="5"/>
    <x v="5"/>
    <x v="5"/>
    <x v="10"/>
    <s v=" ="/>
    <n v="14.7000006982125"/>
    <s v="g/kg TS"/>
  </r>
  <r>
    <x v="0"/>
    <s v="Halsnæs"/>
    <x v="2"/>
    <n v="692735"/>
    <n v="6209960"/>
    <x v="1"/>
    <n v="3"/>
    <x v="0"/>
    <x v="0"/>
    <x v="0"/>
    <x v="9"/>
    <s v=" ="/>
    <n v="18.100000000000001"/>
    <s v="pct VV"/>
  </r>
  <r>
    <x v="1"/>
    <s v="Gribskov"/>
    <x v="2"/>
    <n v="694929"/>
    <n v="6209746"/>
    <x v="1"/>
    <n v="5"/>
    <x v="5"/>
    <x v="5"/>
    <x v="5"/>
    <x v="0"/>
    <s v=" ="/>
    <n v="148.00000702962299"/>
    <s v="g/kg TS"/>
  </r>
  <r>
    <x v="2"/>
    <s v="Gribskov"/>
    <x v="2"/>
    <n v="695956"/>
    <n v="6208568"/>
    <x v="1"/>
    <n v="4"/>
    <x v="1"/>
    <x v="1"/>
    <x v="1"/>
    <x v="9"/>
    <s v=" ="/>
    <n v="17.7"/>
    <s v="pct VV"/>
  </r>
  <r>
    <x v="1"/>
    <s v="Gribskov"/>
    <x v="2"/>
    <n v="694929"/>
    <n v="6209746"/>
    <x v="1"/>
    <n v="1"/>
    <x v="2"/>
    <x v="2"/>
    <x v="2"/>
    <x v="0"/>
    <s v=" ="/>
    <n v="199.10000945674301"/>
    <s v="g/kg TS"/>
  </r>
  <r>
    <x v="1"/>
    <s v="Gribskov"/>
    <x v="2"/>
    <n v="694929"/>
    <n v="6209746"/>
    <x v="1"/>
    <n v="6"/>
    <x v="3"/>
    <x v="10"/>
    <x v="10"/>
    <x v="10"/>
    <s v=" ="/>
    <n v="15.4000007314608"/>
    <s v="g/kg TS"/>
  </r>
  <r>
    <x v="1"/>
    <s v="Gribskov"/>
    <x v="2"/>
    <n v="694929"/>
    <n v="6209746"/>
    <x v="1"/>
    <n v="4"/>
    <x v="1"/>
    <x v="1"/>
    <x v="1"/>
    <x v="10"/>
    <s v=" ="/>
    <n v="18.600000883452601"/>
    <s v="g/kg TS"/>
  </r>
  <r>
    <x v="2"/>
    <s v="Gribskov"/>
    <x v="2"/>
    <n v="695956"/>
    <n v="6208568"/>
    <x v="1"/>
    <n v="6"/>
    <x v="3"/>
    <x v="10"/>
    <x v="10"/>
    <x v="10"/>
    <s v=" ="/>
    <n v="15.500000736210501"/>
    <s v="g/kg TS"/>
  </r>
  <r>
    <x v="0"/>
    <s v="Halsnæs"/>
    <x v="2"/>
    <n v="692735"/>
    <n v="6209960"/>
    <x v="1"/>
    <n v="6"/>
    <x v="3"/>
    <x v="10"/>
    <x v="10"/>
    <x v="10"/>
    <s v=" ="/>
    <n v="10.5000004987232"/>
    <s v="g/kg TS"/>
  </r>
  <r>
    <x v="1"/>
    <s v="Gribskov"/>
    <x v="2"/>
    <n v="694929"/>
    <n v="6209746"/>
    <x v="1"/>
    <n v="5"/>
    <x v="5"/>
    <x v="5"/>
    <x v="5"/>
    <x v="5"/>
    <s v=" ="/>
    <n v="0.68700003263074905"/>
    <s v="g/kg TS"/>
  </r>
  <r>
    <x v="1"/>
    <s v="Gribskov"/>
    <x v="2"/>
    <n v="694929"/>
    <n v="6209746"/>
    <x v="1"/>
    <n v="5"/>
    <x v="5"/>
    <x v="5"/>
    <x v="5"/>
    <x v="3"/>
    <s v=" ="/>
    <n v="11.800000560469901"/>
    <s v="g/kg TS"/>
  </r>
  <r>
    <x v="0"/>
    <s v="Halsnæs"/>
    <x v="2"/>
    <n v="692735"/>
    <n v="6209960"/>
    <x v="1"/>
    <n v="2"/>
    <x v="4"/>
    <x v="4"/>
    <x v="4"/>
    <x v="0"/>
    <s v=" ="/>
    <n v="95.700004545506104"/>
    <s v="g/kg TS"/>
  </r>
  <r>
    <x v="2"/>
    <s v="Gribskov"/>
    <x v="2"/>
    <n v="695956"/>
    <n v="6208568"/>
    <x v="1"/>
    <n v="3"/>
    <x v="0"/>
    <x v="0"/>
    <x v="0"/>
    <x v="1"/>
    <s v=" ="/>
    <n v="13.5"/>
    <s v="pct TS"/>
  </r>
  <r>
    <x v="1"/>
    <s v="Gribskov"/>
    <x v="2"/>
    <n v="694929"/>
    <n v="6209746"/>
    <x v="1"/>
    <n v="3"/>
    <x v="0"/>
    <x v="0"/>
    <x v="0"/>
    <x v="10"/>
    <s v=" ="/>
    <n v="15.6000007409602"/>
    <s v="g/kg TS"/>
  </r>
  <r>
    <x v="2"/>
    <s v="Gribskov"/>
    <x v="2"/>
    <n v="695956"/>
    <n v="6208568"/>
    <x v="1"/>
    <n v="3"/>
    <x v="0"/>
    <x v="0"/>
    <x v="0"/>
    <x v="0"/>
    <s v=" ="/>
    <n v="64.000003039836898"/>
    <s v="g/kg TS"/>
  </r>
  <r>
    <x v="1"/>
    <s v="Gribskov"/>
    <x v="2"/>
    <n v="694929"/>
    <n v="6209746"/>
    <x v="1"/>
    <n v="5"/>
    <x v="5"/>
    <x v="5"/>
    <x v="5"/>
    <x v="10"/>
    <s v=" ="/>
    <n v="15.300000726711"/>
    <s v="g/kg TS"/>
  </r>
  <r>
    <x v="0"/>
    <s v="Halsnæs"/>
    <x v="3"/>
    <n v="692735"/>
    <n v="6209960"/>
    <x v="1"/>
    <n v="3"/>
    <x v="0"/>
    <x v="0"/>
    <x v="0"/>
    <x v="9"/>
    <s v=" ="/>
    <n v="6.79"/>
    <s v="pct VV"/>
  </r>
  <r>
    <x v="2"/>
    <s v="Gribskov"/>
    <x v="3"/>
    <n v="695956"/>
    <n v="6208568"/>
    <x v="1"/>
    <n v="5"/>
    <x v="5"/>
    <x v="5"/>
    <x v="5"/>
    <x v="5"/>
    <s v=" ="/>
    <n v="0.40900001942645797"/>
    <s v="g/kg TS"/>
  </r>
  <r>
    <x v="2"/>
    <s v="Gribskov"/>
    <x v="3"/>
    <n v="695956"/>
    <n v="6208568"/>
    <x v="1"/>
    <n v="1"/>
    <x v="2"/>
    <x v="2"/>
    <x v="2"/>
    <x v="1"/>
    <s v=" ="/>
    <n v="32"/>
    <s v="pct TS"/>
  </r>
  <r>
    <x v="0"/>
    <s v="Halsnæs"/>
    <x v="3"/>
    <n v="692735"/>
    <n v="6209960"/>
    <x v="1"/>
    <n v="4"/>
    <x v="1"/>
    <x v="1"/>
    <x v="1"/>
    <x v="1"/>
    <s v=" ="/>
    <n v="31.3"/>
    <s v="pct TS"/>
  </r>
  <r>
    <x v="0"/>
    <s v="Halsnæs"/>
    <x v="3"/>
    <n v="692735"/>
    <n v="6209960"/>
    <x v="1"/>
    <n v="4"/>
    <x v="1"/>
    <x v="1"/>
    <x v="1"/>
    <x v="9"/>
    <s v=" ="/>
    <n v="8.65"/>
    <s v="pct VV"/>
  </r>
  <r>
    <x v="0"/>
    <s v="Halsnæs"/>
    <x v="3"/>
    <n v="692735"/>
    <n v="6209960"/>
    <x v="1"/>
    <n v="1"/>
    <x v="2"/>
    <x v="2"/>
    <x v="2"/>
    <x v="10"/>
    <s v=" ="/>
    <n v="8.7900004175026005"/>
    <s v="g/kg TS"/>
  </r>
  <r>
    <x v="1"/>
    <s v="Gribskov"/>
    <x v="3"/>
    <n v="694929"/>
    <n v="6209746"/>
    <x v="1"/>
    <n v="6"/>
    <x v="3"/>
    <x v="8"/>
    <x v="8"/>
    <x v="10"/>
    <s v=" ="/>
    <n v="11.500000546220701"/>
    <s v="g/kg TS"/>
  </r>
  <r>
    <x v="2"/>
    <s v="Gribskov"/>
    <x v="3"/>
    <n v="695956"/>
    <n v="6208568"/>
    <x v="1"/>
    <n v="3"/>
    <x v="0"/>
    <x v="0"/>
    <x v="0"/>
    <x v="1"/>
    <s v=" ="/>
    <n v="17.5"/>
    <s v="pct TS"/>
  </r>
  <r>
    <x v="0"/>
    <s v="Halsnæs"/>
    <x v="3"/>
    <n v="692735"/>
    <n v="6209960"/>
    <x v="1"/>
    <n v="6"/>
    <x v="3"/>
    <x v="11"/>
    <x v="11"/>
    <x v="1"/>
    <s v=" ="/>
    <n v="36.799999999999997"/>
    <s v="pct TS"/>
  </r>
  <r>
    <x v="2"/>
    <s v="Gribskov"/>
    <x v="3"/>
    <n v="695956"/>
    <n v="6208568"/>
    <x v="1"/>
    <n v="6"/>
    <x v="3"/>
    <x v="12"/>
    <x v="12"/>
    <x v="5"/>
    <s v=" ="/>
    <n v="0.27100001287180903"/>
    <s v="g/kg TS"/>
  </r>
  <r>
    <x v="1"/>
    <s v="Gribskov"/>
    <x v="3"/>
    <n v="694929"/>
    <n v="6209746"/>
    <x v="1"/>
    <n v="5"/>
    <x v="5"/>
    <x v="5"/>
    <x v="5"/>
    <x v="1"/>
    <s v=" ="/>
    <n v="16.8"/>
    <s v="pct TS"/>
  </r>
  <r>
    <x v="2"/>
    <s v="Gribskov"/>
    <x v="3"/>
    <n v="695956"/>
    <n v="6208568"/>
    <x v="1"/>
    <n v="5"/>
    <x v="5"/>
    <x v="5"/>
    <x v="5"/>
    <x v="9"/>
    <s v=" ="/>
    <n v="30.3"/>
    <s v="pct VV"/>
  </r>
  <r>
    <x v="1"/>
    <s v="Gribskov"/>
    <x v="3"/>
    <n v="694929"/>
    <n v="6209746"/>
    <x v="1"/>
    <n v="1"/>
    <x v="2"/>
    <x v="2"/>
    <x v="2"/>
    <x v="5"/>
    <s v=" ="/>
    <n v="1.6000000759959201"/>
    <s v="g/kg TS"/>
  </r>
  <r>
    <x v="0"/>
    <s v="Halsnæs"/>
    <x v="3"/>
    <n v="692735"/>
    <n v="6209960"/>
    <x v="1"/>
    <n v="1"/>
    <x v="2"/>
    <x v="2"/>
    <x v="2"/>
    <x v="5"/>
    <s v=" ="/>
    <n v="1.4100000669714099"/>
    <s v="g/kg TS"/>
  </r>
  <r>
    <x v="1"/>
    <s v="Gribskov"/>
    <x v="3"/>
    <n v="694929"/>
    <n v="6209746"/>
    <x v="1"/>
    <n v="6"/>
    <x v="3"/>
    <x v="8"/>
    <x v="8"/>
    <x v="9"/>
    <s v=" ="/>
    <n v="15.8"/>
    <s v="pct VV"/>
  </r>
  <r>
    <x v="1"/>
    <s v="Gribskov"/>
    <x v="3"/>
    <n v="694929"/>
    <n v="6209746"/>
    <x v="1"/>
    <n v="4"/>
    <x v="1"/>
    <x v="1"/>
    <x v="1"/>
    <x v="10"/>
    <s v=" ="/>
    <n v="9.8800004692748207"/>
    <s v="g/kg TS"/>
  </r>
  <r>
    <x v="2"/>
    <s v="Gribskov"/>
    <x v="3"/>
    <n v="695956"/>
    <n v="6208568"/>
    <x v="1"/>
    <n v="3"/>
    <x v="0"/>
    <x v="0"/>
    <x v="0"/>
    <x v="9"/>
    <s v=" ="/>
    <n v="10.6"/>
    <s v="pct VV"/>
  </r>
  <r>
    <x v="2"/>
    <s v="Gribskov"/>
    <x v="3"/>
    <n v="695956"/>
    <n v="6208568"/>
    <x v="1"/>
    <n v="5"/>
    <x v="5"/>
    <x v="5"/>
    <x v="5"/>
    <x v="1"/>
    <s v=" ="/>
    <n v="11"/>
    <s v="pct TS"/>
  </r>
  <r>
    <x v="1"/>
    <s v="Gribskov"/>
    <x v="3"/>
    <n v="694929"/>
    <n v="6209746"/>
    <x v="1"/>
    <n v="4"/>
    <x v="1"/>
    <x v="1"/>
    <x v="1"/>
    <x v="9"/>
    <s v=" ="/>
    <n v="8.8699999999999992"/>
    <s v="pct VV"/>
  </r>
  <r>
    <x v="2"/>
    <s v="Gribskov"/>
    <x v="3"/>
    <n v="695956"/>
    <n v="6208568"/>
    <x v="1"/>
    <n v="1"/>
    <x v="2"/>
    <x v="2"/>
    <x v="2"/>
    <x v="10"/>
    <s v=" ="/>
    <n v="8.6400004103779793"/>
    <s v="g/kg TS"/>
  </r>
  <r>
    <x v="1"/>
    <s v="Gribskov"/>
    <x v="3"/>
    <n v="694929"/>
    <n v="6209746"/>
    <x v="1"/>
    <n v="3"/>
    <x v="0"/>
    <x v="0"/>
    <x v="0"/>
    <x v="10"/>
    <s v=" ="/>
    <n v="9.1000004322268104"/>
    <s v="g/kg TS"/>
  </r>
  <r>
    <x v="1"/>
    <s v="Gribskov"/>
    <x v="3"/>
    <n v="694929"/>
    <n v="6209746"/>
    <x v="1"/>
    <n v="2"/>
    <x v="4"/>
    <x v="4"/>
    <x v="4"/>
    <x v="9"/>
    <s v=" ="/>
    <n v="4.8"/>
    <s v="pct VV"/>
  </r>
  <r>
    <x v="2"/>
    <s v="Gribskov"/>
    <x v="3"/>
    <n v="695956"/>
    <n v="6208568"/>
    <x v="1"/>
    <n v="6"/>
    <x v="3"/>
    <x v="12"/>
    <x v="12"/>
    <x v="1"/>
    <s v=" ="/>
    <n v="6.5"/>
    <s v="pct TS"/>
  </r>
  <r>
    <x v="0"/>
    <s v="Halsnæs"/>
    <x v="3"/>
    <n v="692735"/>
    <n v="6209960"/>
    <x v="1"/>
    <n v="2"/>
    <x v="4"/>
    <x v="4"/>
    <x v="4"/>
    <x v="5"/>
    <s v=" ="/>
    <n v="1.4100000669714099"/>
    <s v="g/kg TS"/>
  </r>
  <r>
    <x v="0"/>
    <s v="Halsnæs"/>
    <x v="3"/>
    <n v="692735"/>
    <n v="6209960"/>
    <x v="1"/>
    <n v="3"/>
    <x v="0"/>
    <x v="0"/>
    <x v="0"/>
    <x v="10"/>
    <s v=" ="/>
    <n v="9.7400004626251793"/>
    <s v="g/kg TS"/>
  </r>
  <r>
    <x v="2"/>
    <s v="Gribskov"/>
    <x v="3"/>
    <n v="695956"/>
    <n v="6208568"/>
    <x v="1"/>
    <n v="6"/>
    <x v="3"/>
    <x v="12"/>
    <x v="12"/>
    <x v="9"/>
    <s v=" ="/>
    <n v="44.5"/>
    <s v="pct VV"/>
  </r>
  <r>
    <x v="1"/>
    <s v="Gribskov"/>
    <x v="3"/>
    <n v="694929"/>
    <n v="6209746"/>
    <x v="1"/>
    <n v="2"/>
    <x v="4"/>
    <x v="4"/>
    <x v="4"/>
    <x v="1"/>
    <s v=" ="/>
    <n v="33.9"/>
    <s v="pct TS"/>
  </r>
  <r>
    <x v="0"/>
    <s v="Halsnæs"/>
    <x v="3"/>
    <n v="692735"/>
    <n v="6209960"/>
    <x v="1"/>
    <n v="4"/>
    <x v="1"/>
    <x v="1"/>
    <x v="1"/>
    <x v="10"/>
    <s v=" ="/>
    <n v="9.0100004279520398"/>
    <s v="g/kg TS"/>
  </r>
  <r>
    <x v="1"/>
    <s v="Gribskov"/>
    <x v="3"/>
    <n v="694929"/>
    <n v="6209746"/>
    <x v="1"/>
    <n v="6"/>
    <x v="3"/>
    <x v="8"/>
    <x v="8"/>
    <x v="5"/>
    <s v=" ="/>
    <n v="0.50400002393871601"/>
    <s v="g/kg TS"/>
  </r>
  <r>
    <x v="1"/>
    <s v="Gribskov"/>
    <x v="3"/>
    <n v="694929"/>
    <n v="6209746"/>
    <x v="1"/>
    <n v="4"/>
    <x v="1"/>
    <x v="1"/>
    <x v="1"/>
    <x v="5"/>
    <s v=" ="/>
    <n v="0.81800003885291495"/>
    <s v="g/kg TS"/>
  </r>
  <r>
    <x v="1"/>
    <s v="Gribskov"/>
    <x v="3"/>
    <n v="694929"/>
    <n v="6209746"/>
    <x v="1"/>
    <n v="3"/>
    <x v="0"/>
    <x v="0"/>
    <x v="0"/>
    <x v="9"/>
    <s v=" ="/>
    <n v="6.14"/>
    <s v="pct VV"/>
  </r>
  <r>
    <x v="0"/>
    <s v="Halsnæs"/>
    <x v="3"/>
    <n v="692735"/>
    <n v="6209960"/>
    <x v="1"/>
    <n v="5"/>
    <x v="5"/>
    <x v="5"/>
    <x v="5"/>
    <x v="5"/>
    <s v=" ="/>
    <n v="0.80300003814045395"/>
    <s v="g/kg TS"/>
  </r>
  <r>
    <x v="2"/>
    <s v="Gribskov"/>
    <x v="3"/>
    <n v="695956"/>
    <n v="6208568"/>
    <x v="1"/>
    <n v="2"/>
    <x v="4"/>
    <x v="4"/>
    <x v="4"/>
    <x v="1"/>
    <s v=" ="/>
    <n v="28.2"/>
    <s v="pct TS"/>
  </r>
  <r>
    <x v="1"/>
    <s v="Gribskov"/>
    <x v="3"/>
    <n v="694929"/>
    <n v="6209746"/>
    <x v="1"/>
    <n v="2"/>
    <x v="4"/>
    <x v="4"/>
    <x v="4"/>
    <x v="5"/>
    <s v=" ="/>
    <n v="1.5300000726711001"/>
    <s v="g/kg TS"/>
  </r>
  <r>
    <x v="1"/>
    <s v="Gribskov"/>
    <x v="3"/>
    <n v="694929"/>
    <n v="6209746"/>
    <x v="1"/>
    <n v="1"/>
    <x v="2"/>
    <x v="2"/>
    <x v="2"/>
    <x v="10"/>
    <s v=" ="/>
    <n v="8.7300004146527499"/>
    <s v="g/kg TS"/>
  </r>
  <r>
    <x v="2"/>
    <s v="Gribskov"/>
    <x v="3"/>
    <n v="695956"/>
    <n v="6208568"/>
    <x v="1"/>
    <n v="4"/>
    <x v="1"/>
    <x v="1"/>
    <x v="1"/>
    <x v="5"/>
    <s v=" ="/>
    <n v="0.55500002636108603"/>
    <s v="g/kg TS"/>
  </r>
  <r>
    <x v="0"/>
    <s v="Halsnæs"/>
    <x v="3"/>
    <n v="692735"/>
    <n v="6209960"/>
    <x v="1"/>
    <n v="3"/>
    <x v="0"/>
    <x v="0"/>
    <x v="0"/>
    <x v="1"/>
    <s v=" ="/>
    <n v="31.7"/>
    <s v="pct TS"/>
  </r>
  <r>
    <x v="2"/>
    <s v="Gribskov"/>
    <x v="3"/>
    <n v="695956"/>
    <n v="6208568"/>
    <x v="1"/>
    <n v="2"/>
    <x v="4"/>
    <x v="4"/>
    <x v="4"/>
    <x v="9"/>
    <s v=" ="/>
    <n v="6.49"/>
    <s v="pct VV"/>
  </r>
  <r>
    <x v="1"/>
    <s v="Gribskov"/>
    <x v="3"/>
    <n v="694929"/>
    <n v="6209746"/>
    <x v="1"/>
    <n v="4"/>
    <x v="1"/>
    <x v="1"/>
    <x v="1"/>
    <x v="1"/>
    <s v=" ="/>
    <n v="24"/>
    <s v="pct TS"/>
  </r>
  <r>
    <x v="0"/>
    <s v="Halsnæs"/>
    <x v="3"/>
    <n v="692735"/>
    <n v="6209960"/>
    <x v="1"/>
    <n v="2"/>
    <x v="4"/>
    <x v="4"/>
    <x v="4"/>
    <x v="1"/>
    <s v=" ="/>
    <n v="31.8"/>
    <s v="pct TS"/>
  </r>
  <r>
    <x v="0"/>
    <s v="Halsnæs"/>
    <x v="3"/>
    <n v="692735"/>
    <n v="6209960"/>
    <x v="1"/>
    <n v="2"/>
    <x v="4"/>
    <x v="4"/>
    <x v="4"/>
    <x v="10"/>
    <s v=" ="/>
    <n v="7.9600003780797097"/>
    <s v="g/kg TS"/>
  </r>
  <r>
    <x v="1"/>
    <s v="Gribskov"/>
    <x v="3"/>
    <n v="694929"/>
    <n v="6209746"/>
    <x v="1"/>
    <n v="3"/>
    <x v="0"/>
    <x v="0"/>
    <x v="0"/>
    <x v="1"/>
    <s v=" ="/>
    <n v="32"/>
    <s v="pct TS"/>
  </r>
  <r>
    <x v="0"/>
    <s v="Halsnæs"/>
    <x v="3"/>
    <n v="692735"/>
    <n v="6209960"/>
    <x v="1"/>
    <n v="1"/>
    <x v="2"/>
    <x v="2"/>
    <x v="2"/>
    <x v="1"/>
    <s v=" ="/>
    <n v="35.6"/>
    <s v="pct TS"/>
  </r>
  <r>
    <x v="1"/>
    <s v="Gribskov"/>
    <x v="3"/>
    <n v="694929"/>
    <n v="6209746"/>
    <x v="1"/>
    <n v="3"/>
    <x v="0"/>
    <x v="0"/>
    <x v="0"/>
    <x v="5"/>
    <s v=" ="/>
    <n v="1.27000006032176"/>
    <s v="g/kg TS"/>
  </r>
  <r>
    <x v="0"/>
    <s v="Halsnæs"/>
    <x v="3"/>
    <n v="692735"/>
    <n v="6209960"/>
    <x v="1"/>
    <n v="5"/>
    <x v="5"/>
    <x v="5"/>
    <x v="5"/>
    <x v="10"/>
    <s v=" ="/>
    <n v="8.9200004236772603"/>
    <s v="g/kg TS"/>
  </r>
  <r>
    <x v="2"/>
    <s v="Gribskov"/>
    <x v="3"/>
    <n v="695956"/>
    <n v="6208568"/>
    <x v="1"/>
    <n v="2"/>
    <x v="4"/>
    <x v="4"/>
    <x v="4"/>
    <x v="5"/>
    <s v=" ="/>
    <n v="1.16000005509704"/>
    <s v="g/kg TS"/>
  </r>
  <r>
    <x v="0"/>
    <s v="Halsnæs"/>
    <x v="3"/>
    <n v="692735"/>
    <n v="6209960"/>
    <x v="1"/>
    <n v="6"/>
    <x v="3"/>
    <x v="11"/>
    <x v="11"/>
    <x v="10"/>
    <s v=" ="/>
    <n v="11.6000005509704"/>
    <s v="g/kg TS"/>
  </r>
  <r>
    <x v="0"/>
    <s v="Halsnæs"/>
    <x v="3"/>
    <n v="692735"/>
    <n v="6209960"/>
    <x v="1"/>
    <n v="3"/>
    <x v="0"/>
    <x v="0"/>
    <x v="0"/>
    <x v="5"/>
    <s v=" ="/>
    <n v="1.4400000683963301"/>
    <s v="g/kg TS"/>
  </r>
  <r>
    <x v="1"/>
    <s v="Gribskov"/>
    <x v="3"/>
    <n v="694929"/>
    <n v="6209746"/>
    <x v="1"/>
    <n v="1"/>
    <x v="2"/>
    <x v="2"/>
    <x v="2"/>
    <x v="9"/>
    <s v=" ="/>
    <n v="2.78"/>
    <s v="pct VV"/>
  </r>
  <r>
    <x v="1"/>
    <s v="Gribskov"/>
    <x v="3"/>
    <n v="694929"/>
    <n v="6209746"/>
    <x v="1"/>
    <n v="5"/>
    <x v="5"/>
    <x v="5"/>
    <x v="5"/>
    <x v="9"/>
    <s v=" ="/>
    <n v="12.8"/>
    <s v="pct VV"/>
  </r>
  <r>
    <x v="2"/>
    <s v="Gribskov"/>
    <x v="3"/>
    <n v="695956"/>
    <n v="6208568"/>
    <x v="1"/>
    <n v="4"/>
    <x v="1"/>
    <x v="1"/>
    <x v="1"/>
    <x v="9"/>
    <s v=" ="/>
    <n v="14.6"/>
    <s v="pct VV"/>
  </r>
  <r>
    <x v="0"/>
    <s v="Halsnæs"/>
    <x v="3"/>
    <n v="692735"/>
    <n v="6209960"/>
    <x v="1"/>
    <n v="6"/>
    <x v="3"/>
    <x v="11"/>
    <x v="11"/>
    <x v="9"/>
    <s v=" ="/>
    <n v="11.7"/>
    <s v="pct VV"/>
  </r>
  <r>
    <x v="1"/>
    <s v="Gribskov"/>
    <x v="3"/>
    <n v="694929"/>
    <n v="6209746"/>
    <x v="1"/>
    <n v="2"/>
    <x v="4"/>
    <x v="4"/>
    <x v="4"/>
    <x v="10"/>
    <s v=" ="/>
    <n v="8.5100004042033106"/>
    <s v="g/kg TS"/>
  </r>
  <r>
    <x v="1"/>
    <s v="Gribskov"/>
    <x v="3"/>
    <n v="694929"/>
    <n v="6209746"/>
    <x v="1"/>
    <n v="5"/>
    <x v="5"/>
    <x v="5"/>
    <x v="5"/>
    <x v="5"/>
    <s v=" ="/>
    <n v="0.52800002507865396"/>
    <s v="g/kg TS"/>
  </r>
  <r>
    <x v="1"/>
    <s v="Gribskov"/>
    <x v="3"/>
    <n v="694929"/>
    <n v="6209746"/>
    <x v="1"/>
    <n v="5"/>
    <x v="5"/>
    <x v="5"/>
    <x v="5"/>
    <x v="10"/>
    <s v=" ="/>
    <n v="12.4000005889684"/>
    <s v="g/kg TS"/>
  </r>
  <r>
    <x v="2"/>
    <s v="Gribskov"/>
    <x v="3"/>
    <n v="695956"/>
    <n v="6208568"/>
    <x v="1"/>
    <n v="1"/>
    <x v="2"/>
    <x v="2"/>
    <x v="2"/>
    <x v="5"/>
    <s v=" ="/>
    <n v="1.33000006317161"/>
    <s v="g/kg TS"/>
  </r>
  <r>
    <x v="2"/>
    <s v="Gribskov"/>
    <x v="3"/>
    <n v="695956"/>
    <n v="6208568"/>
    <x v="1"/>
    <n v="3"/>
    <x v="0"/>
    <x v="0"/>
    <x v="0"/>
    <x v="5"/>
    <s v=" ="/>
    <n v="0.87100004137027998"/>
    <s v="g/kg TS"/>
  </r>
  <r>
    <x v="1"/>
    <s v="Gribskov"/>
    <x v="3"/>
    <n v="694929"/>
    <n v="6209746"/>
    <x v="1"/>
    <n v="1"/>
    <x v="2"/>
    <x v="2"/>
    <x v="2"/>
    <x v="1"/>
    <s v=" ="/>
    <n v="39.700000000000003"/>
    <s v="pct TS"/>
  </r>
  <r>
    <x v="2"/>
    <s v="Gribskov"/>
    <x v="3"/>
    <n v="695956"/>
    <n v="6208568"/>
    <x v="1"/>
    <n v="3"/>
    <x v="0"/>
    <x v="0"/>
    <x v="0"/>
    <x v="10"/>
    <s v=" ="/>
    <n v="6.9000003277324096"/>
    <s v="g/kg TS"/>
  </r>
  <r>
    <x v="0"/>
    <s v="Halsnæs"/>
    <x v="3"/>
    <n v="692735"/>
    <n v="6209960"/>
    <x v="1"/>
    <n v="1"/>
    <x v="2"/>
    <x v="2"/>
    <x v="2"/>
    <x v="9"/>
    <s v=" ="/>
    <n v="3.21"/>
    <s v="pct VV"/>
  </r>
  <r>
    <x v="0"/>
    <s v="Halsnæs"/>
    <x v="3"/>
    <n v="692735"/>
    <n v="6209960"/>
    <x v="1"/>
    <n v="6"/>
    <x v="3"/>
    <x v="11"/>
    <x v="11"/>
    <x v="5"/>
    <s v=" ="/>
    <n v="0.56200002669356797"/>
    <s v="g/kg TS"/>
  </r>
  <r>
    <x v="2"/>
    <s v="Gribskov"/>
    <x v="3"/>
    <n v="695956"/>
    <n v="6208568"/>
    <x v="1"/>
    <n v="5"/>
    <x v="5"/>
    <x v="5"/>
    <x v="5"/>
    <x v="10"/>
    <s v=" ="/>
    <n v="7.29000034625642"/>
    <s v="g/kg TS"/>
  </r>
  <r>
    <x v="2"/>
    <s v="Gribskov"/>
    <x v="3"/>
    <n v="695956"/>
    <n v="6208568"/>
    <x v="1"/>
    <n v="6"/>
    <x v="3"/>
    <x v="12"/>
    <x v="12"/>
    <x v="10"/>
    <s v=" ="/>
    <n v="4.7000002232380202"/>
    <s v="g/kg TS"/>
  </r>
  <r>
    <x v="0"/>
    <s v="Halsnæs"/>
    <x v="3"/>
    <n v="692735"/>
    <n v="6209960"/>
    <x v="1"/>
    <n v="5"/>
    <x v="5"/>
    <x v="5"/>
    <x v="5"/>
    <x v="1"/>
    <s v=" ="/>
    <n v="22.8"/>
    <s v="pct TS"/>
  </r>
  <r>
    <x v="1"/>
    <s v="Gribskov"/>
    <x v="3"/>
    <n v="694929"/>
    <n v="6209746"/>
    <x v="1"/>
    <n v="6"/>
    <x v="3"/>
    <x v="8"/>
    <x v="8"/>
    <x v="1"/>
    <s v=" ="/>
    <n v="24.6"/>
    <s v="pct TS"/>
  </r>
  <r>
    <x v="0"/>
    <s v="Halsnæs"/>
    <x v="3"/>
    <n v="692735"/>
    <n v="6209960"/>
    <x v="1"/>
    <n v="2"/>
    <x v="4"/>
    <x v="4"/>
    <x v="4"/>
    <x v="9"/>
    <s v=" ="/>
    <n v="5.49"/>
    <s v="pct VV"/>
  </r>
  <r>
    <x v="2"/>
    <s v="Gribskov"/>
    <x v="3"/>
    <n v="695956"/>
    <n v="6208568"/>
    <x v="1"/>
    <n v="4"/>
    <x v="1"/>
    <x v="1"/>
    <x v="1"/>
    <x v="10"/>
    <s v=" ="/>
    <n v="11.4000005414709"/>
    <s v="g/kg TS"/>
  </r>
  <r>
    <x v="2"/>
    <s v="Gribskov"/>
    <x v="3"/>
    <n v="695956"/>
    <n v="6208568"/>
    <x v="1"/>
    <n v="2"/>
    <x v="4"/>
    <x v="4"/>
    <x v="4"/>
    <x v="10"/>
    <s v=" ="/>
    <n v="9.4800004502758402"/>
    <s v="g/kg TS"/>
  </r>
  <r>
    <x v="0"/>
    <s v="Halsnæs"/>
    <x v="3"/>
    <n v="692735"/>
    <n v="6209960"/>
    <x v="1"/>
    <n v="4"/>
    <x v="1"/>
    <x v="1"/>
    <x v="1"/>
    <x v="5"/>
    <s v=" ="/>
    <n v="1.1900000565219699"/>
    <s v="g/kg TS"/>
  </r>
  <r>
    <x v="0"/>
    <s v="Halsnæs"/>
    <x v="3"/>
    <n v="692735"/>
    <n v="6209960"/>
    <x v="1"/>
    <n v="5"/>
    <x v="5"/>
    <x v="5"/>
    <x v="5"/>
    <x v="9"/>
    <s v=" ="/>
    <n v="20"/>
    <s v="pct VV"/>
  </r>
  <r>
    <x v="2"/>
    <s v="Gribskov"/>
    <x v="3"/>
    <n v="695956"/>
    <n v="6208568"/>
    <x v="1"/>
    <n v="4"/>
    <x v="1"/>
    <x v="1"/>
    <x v="1"/>
    <x v="1"/>
    <s v=" ="/>
    <n v="14.4"/>
    <s v="pct TS"/>
  </r>
  <r>
    <x v="2"/>
    <s v="Gribskov"/>
    <x v="3"/>
    <n v="695956"/>
    <n v="6208568"/>
    <x v="1"/>
    <n v="1"/>
    <x v="2"/>
    <x v="2"/>
    <x v="2"/>
    <x v="9"/>
    <s v=" ="/>
    <n v="3.06"/>
    <s v="pct VV"/>
  </r>
  <r>
    <x v="1"/>
    <s v="Gribskov"/>
    <x v="4"/>
    <n v="694929"/>
    <n v="6209746"/>
    <x v="1"/>
    <n v="1"/>
    <x v="2"/>
    <x v="2"/>
    <x v="2"/>
    <x v="9"/>
    <s v=" ="/>
    <n v="3"/>
    <s v="pct VV"/>
  </r>
  <r>
    <x v="0"/>
    <s v="Halsnæs"/>
    <x v="4"/>
    <n v="692735"/>
    <n v="6209960"/>
    <x v="1"/>
    <n v="6"/>
    <x v="3"/>
    <x v="10"/>
    <x v="10"/>
    <x v="5"/>
    <s v=" ="/>
    <n v="0.72000003419816505"/>
    <s v="g/kg TS"/>
  </r>
  <r>
    <x v="2"/>
    <s v="Gribskov"/>
    <x v="4"/>
    <n v="695956"/>
    <n v="6208568"/>
    <x v="1"/>
    <n v="5"/>
    <x v="5"/>
    <x v="5"/>
    <x v="5"/>
    <x v="5"/>
    <s v=" ="/>
    <n v="0.52000002469867501"/>
    <s v="g/kg TS"/>
  </r>
  <r>
    <x v="2"/>
    <s v="Gribskov"/>
    <x v="4"/>
    <n v="695956"/>
    <n v="6208568"/>
    <x v="1"/>
    <n v="3"/>
    <x v="0"/>
    <x v="0"/>
    <x v="0"/>
    <x v="1"/>
    <s v=" ="/>
    <n v="29"/>
    <s v="pct TS"/>
  </r>
  <r>
    <x v="0"/>
    <s v="Halsnæs"/>
    <x v="4"/>
    <n v="692735"/>
    <n v="6209960"/>
    <x v="1"/>
    <n v="4"/>
    <x v="1"/>
    <x v="1"/>
    <x v="1"/>
    <x v="9"/>
    <s v=" ="/>
    <n v="8.1"/>
    <s v="pct VV"/>
  </r>
  <r>
    <x v="2"/>
    <s v="Gribskov"/>
    <x v="4"/>
    <n v="695956"/>
    <n v="6208568"/>
    <x v="1"/>
    <n v="4"/>
    <x v="1"/>
    <x v="1"/>
    <x v="1"/>
    <x v="1"/>
    <s v=" ="/>
    <n v="22"/>
    <s v="pct TS"/>
  </r>
  <r>
    <x v="0"/>
    <s v="Halsnæs"/>
    <x v="4"/>
    <n v="692735"/>
    <n v="6209960"/>
    <x v="1"/>
    <n v="1"/>
    <x v="2"/>
    <x v="2"/>
    <x v="2"/>
    <x v="10"/>
    <s v=" ="/>
    <n v="9.4000004464760405"/>
    <s v="g/kg TS"/>
  </r>
  <r>
    <x v="1"/>
    <s v="Gribskov"/>
    <x v="4"/>
    <n v="694929"/>
    <n v="6209746"/>
    <x v="1"/>
    <n v="5"/>
    <x v="5"/>
    <x v="5"/>
    <x v="5"/>
    <x v="5"/>
    <s v=" ="/>
    <n v="0.65000003087334302"/>
    <s v="g/kg TS"/>
  </r>
  <r>
    <x v="2"/>
    <s v="Gribskov"/>
    <x v="4"/>
    <n v="695956"/>
    <n v="6208568"/>
    <x v="1"/>
    <n v="1"/>
    <x v="2"/>
    <x v="2"/>
    <x v="2"/>
    <x v="9"/>
    <s v=" ="/>
    <n v="2.9"/>
    <s v="pct VV"/>
  </r>
  <r>
    <x v="1"/>
    <s v="Gribskov"/>
    <x v="4"/>
    <n v="694929"/>
    <n v="6209746"/>
    <x v="1"/>
    <n v="2"/>
    <x v="4"/>
    <x v="4"/>
    <x v="4"/>
    <x v="1"/>
    <s v=" ="/>
    <n v="37"/>
    <s v="pct TS"/>
  </r>
  <r>
    <x v="1"/>
    <s v="Gribskov"/>
    <x v="4"/>
    <n v="694929"/>
    <n v="6209746"/>
    <x v="1"/>
    <n v="4"/>
    <x v="1"/>
    <x v="1"/>
    <x v="1"/>
    <x v="5"/>
    <s v=" ="/>
    <n v="1.20000005699694"/>
    <s v="g/kg TS"/>
  </r>
  <r>
    <x v="0"/>
    <s v="Halsnæs"/>
    <x v="4"/>
    <n v="692735"/>
    <n v="6209960"/>
    <x v="1"/>
    <n v="3"/>
    <x v="0"/>
    <x v="0"/>
    <x v="0"/>
    <x v="9"/>
    <s v=" ="/>
    <n v="6.4"/>
    <s v="pct VV"/>
  </r>
  <r>
    <x v="1"/>
    <s v="Gribskov"/>
    <x v="4"/>
    <n v="694929"/>
    <n v="6209746"/>
    <x v="1"/>
    <n v="5"/>
    <x v="5"/>
    <x v="5"/>
    <x v="5"/>
    <x v="9"/>
    <s v=" ="/>
    <n v="12"/>
    <s v="pct VV"/>
  </r>
  <r>
    <x v="0"/>
    <s v="Halsnæs"/>
    <x v="4"/>
    <n v="692735"/>
    <n v="6209960"/>
    <x v="1"/>
    <n v="5"/>
    <x v="5"/>
    <x v="5"/>
    <x v="5"/>
    <x v="1"/>
    <s v=" ="/>
    <n v="29"/>
    <s v="pct TS"/>
  </r>
  <r>
    <x v="0"/>
    <s v="Halsnæs"/>
    <x v="4"/>
    <n v="692735"/>
    <n v="6209960"/>
    <x v="1"/>
    <n v="5"/>
    <x v="5"/>
    <x v="5"/>
    <x v="5"/>
    <x v="5"/>
    <s v=" ="/>
    <n v="1.00000004749745"/>
    <s v="g/kg TS"/>
  </r>
  <r>
    <x v="1"/>
    <s v="Gribskov"/>
    <x v="4"/>
    <n v="694929"/>
    <n v="6209746"/>
    <x v="1"/>
    <n v="6"/>
    <x v="3"/>
    <x v="10"/>
    <x v="10"/>
    <x v="10"/>
    <s v=" ="/>
    <n v="17.000000807456701"/>
    <s v="g/kg TS"/>
  </r>
  <r>
    <x v="0"/>
    <s v="Halsnæs"/>
    <x v="4"/>
    <n v="692735"/>
    <n v="6209960"/>
    <x v="1"/>
    <n v="1"/>
    <x v="2"/>
    <x v="2"/>
    <x v="2"/>
    <x v="9"/>
    <s v=" ="/>
    <n v="3.3"/>
    <s v="pct VV"/>
  </r>
  <r>
    <x v="1"/>
    <s v="Gribskov"/>
    <x v="4"/>
    <n v="694929"/>
    <n v="6209746"/>
    <x v="1"/>
    <n v="1"/>
    <x v="2"/>
    <x v="2"/>
    <x v="2"/>
    <x v="10"/>
    <s v=" ="/>
    <n v="9.5000004512257892"/>
    <s v="g/kg TS"/>
  </r>
  <r>
    <x v="1"/>
    <s v="Gribskov"/>
    <x v="4"/>
    <n v="694929"/>
    <n v="6209746"/>
    <x v="1"/>
    <n v="6"/>
    <x v="3"/>
    <x v="10"/>
    <x v="10"/>
    <x v="9"/>
    <s v=" ="/>
    <n v="18"/>
    <s v="pct VV"/>
  </r>
  <r>
    <x v="2"/>
    <s v="Gribskov"/>
    <x v="4"/>
    <n v="695956"/>
    <n v="6208568"/>
    <x v="1"/>
    <n v="1"/>
    <x v="2"/>
    <x v="2"/>
    <x v="2"/>
    <x v="10"/>
    <s v=" ="/>
    <n v="10.000000474974501"/>
    <s v="g/kg TS"/>
  </r>
  <r>
    <x v="2"/>
    <s v="Gribskov"/>
    <x v="4"/>
    <n v="695956"/>
    <n v="6208568"/>
    <x v="1"/>
    <n v="5"/>
    <x v="5"/>
    <x v="5"/>
    <x v="5"/>
    <x v="9"/>
    <s v=" ="/>
    <n v="13"/>
    <s v="pct VV"/>
  </r>
  <r>
    <x v="2"/>
    <s v="Gribskov"/>
    <x v="4"/>
    <n v="695956"/>
    <n v="6208568"/>
    <x v="1"/>
    <n v="5"/>
    <x v="5"/>
    <x v="5"/>
    <x v="5"/>
    <x v="1"/>
    <s v=" ="/>
    <n v="17"/>
    <s v="pct TS"/>
  </r>
  <r>
    <x v="0"/>
    <s v="Halsnæs"/>
    <x v="4"/>
    <n v="692735"/>
    <n v="6209960"/>
    <x v="1"/>
    <n v="4"/>
    <x v="1"/>
    <x v="1"/>
    <x v="1"/>
    <x v="10"/>
    <s v=" ="/>
    <n v="12.0000005699694"/>
    <s v="g/kg TS"/>
  </r>
  <r>
    <x v="1"/>
    <s v="Gribskov"/>
    <x v="4"/>
    <n v="694929"/>
    <n v="6209746"/>
    <x v="1"/>
    <n v="2"/>
    <x v="4"/>
    <x v="4"/>
    <x v="4"/>
    <x v="5"/>
    <s v=" ="/>
    <n v="1.7000000807456701"/>
    <s v="g/kg TS"/>
  </r>
  <r>
    <x v="1"/>
    <s v="Gribskov"/>
    <x v="4"/>
    <n v="694929"/>
    <n v="6209746"/>
    <x v="1"/>
    <n v="3"/>
    <x v="0"/>
    <x v="0"/>
    <x v="0"/>
    <x v="5"/>
    <s v=" ="/>
    <n v="1.7000000807456701"/>
    <s v="g/kg TS"/>
  </r>
  <r>
    <x v="1"/>
    <s v="Gribskov"/>
    <x v="4"/>
    <n v="694929"/>
    <n v="6209746"/>
    <x v="1"/>
    <n v="5"/>
    <x v="5"/>
    <x v="5"/>
    <x v="5"/>
    <x v="1"/>
    <s v=" ="/>
    <n v="19"/>
    <s v="pct TS"/>
  </r>
  <r>
    <x v="2"/>
    <s v="Gribskov"/>
    <x v="4"/>
    <n v="695956"/>
    <n v="6208568"/>
    <x v="1"/>
    <n v="2"/>
    <x v="4"/>
    <x v="4"/>
    <x v="4"/>
    <x v="5"/>
    <s v=" ="/>
    <n v="1.5000000712461801"/>
    <s v="g/kg TS"/>
  </r>
  <r>
    <x v="0"/>
    <s v="Halsnæs"/>
    <x v="4"/>
    <n v="692735"/>
    <n v="6209960"/>
    <x v="1"/>
    <n v="3"/>
    <x v="0"/>
    <x v="0"/>
    <x v="0"/>
    <x v="10"/>
    <s v=" ="/>
    <n v="10.000000474974501"/>
    <s v="g/kg TS"/>
  </r>
  <r>
    <x v="2"/>
    <s v="Gribskov"/>
    <x v="4"/>
    <n v="695956"/>
    <n v="6208568"/>
    <x v="1"/>
    <n v="4"/>
    <x v="1"/>
    <x v="1"/>
    <x v="1"/>
    <x v="9"/>
    <s v=" ="/>
    <n v="9.1999999999999993"/>
    <s v="pct VV"/>
  </r>
  <r>
    <x v="0"/>
    <s v="Halsnæs"/>
    <x v="4"/>
    <n v="692735"/>
    <n v="6209960"/>
    <x v="1"/>
    <n v="5"/>
    <x v="5"/>
    <x v="5"/>
    <x v="5"/>
    <x v="10"/>
    <s v=" ="/>
    <n v="13.000000617466901"/>
    <s v="g/kg TS"/>
  </r>
  <r>
    <x v="2"/>
    <s v="Gribskov"/>
    <x v="4"/>
    <n v="695956"/>
    <n v="6208568"/>
    <x v="1"/>
    <n v="2"/>
    <x v="4"/>
    <x v="4"/>
    <x v="4"/>
    <x v="9"/>
    <s v=" ="/>
    <n v="4.3"/>
    <s v="pct VV"/>
  </r>
  <r>
    <x v="1"/>
    <s v="Gribskov"/>
    <x v="4"/>
    <n v="694929"/>
    <n v="6209746"/>
    <x v="1"/>
    <n v="4"/>
    <x v="1"/>
    <x v="1"/>
    <x v="1"/>
    <x v="9"/>
    <s v=" ="/>
    <n v="7.9"/>
    <s v="pct VV"/>
  </r>
  <r>
    <x v="2"/>
    <s v="Gribskov"/>
    <x v="4"/>
    <n v="695956"/>
    <n v="6208568"/>
    <x v="1"/>
    <n v="6"/>
    <x v="3"/>
    <x v="10"/>
    <x v="10"/>
    <x v="9"/>
    <s v=" ="/>
    <n v="19"/>
    <s v="pct VV"/>
  </r>
  <r>
    <x v="0"/>
    <s v="Halsnæs"/>
    <x v="4"/>
    <n v="692735"/>
    <n v="6209960"/>
    <x v="1"/>
    <n v="6"/>
    <x v="3"/>
    <x v="10"/>
    <x v="10"/>
    <x v="10"/>
    <s v=" ="/>
    <n v="15.0000007124618"/>
    <s v="g/kg TS"/>
  </r>
  <r>
    <x v="1"/>
    <s v="Gribskov"/>
    <x v="4"/>
    <n v="694929"/>
    <n v="6209746"/>
    <x v="1"/>
    <n v="2"/>
    <x v="4"/>
    <x v="4"/>
    <x v="4"/>
    <x v="10"/>
    <s v=" ="/>
    <n v="10.000000474974501"/>
    <s v="g/kg TS"/>
  </r>
  <r>
    <x v="1"/>
    <s v="Gribskov"/>
    <x v="4"/>
    <n v="694929"/>
    <n v="6209746"/>
    <x v="1"/>
    <n v="4"/>
    <x v="1"/>
    <x v="1"/>
    <x v="1"/>
    <x v="1"/>
    <s v=" ="/>
    <n v="29"/>
    <s v="pct TS"/>
  </r>
  <r>
    <x v="1"/>
    <s v="Gribskov"/>
    <x v="4"/>
    <n v="694929"/>
    <n v="6209746"/>
    <x v="1"/>
    <n v="5"/>
    <x v="5"/>
    <x v="5"/>
    <x v="5"/>
    <x v="10"/>
    <s v=" ="/>
    <n v="17.000000807456701"/>
    <s v="g/kg TS"/>
  </r>
  <r>
    <x v="0"/>
    <s v="Halsnæs"/>
    <x v="4"/>
    <n v="692735"/>
    <n v="6209960"/>
    <x v="1"/>
    <n v="5"/>
    <x v="5"/>
    <x v="5"/>
    <x v="5"/>
    <x v="9"/>
    <s v=" ="/>
    <n v="10"/>
    <s v="pct VV"/>
  </r>
  <r>
    <x v="1"/>
    <s v="Gribskov"/>
    <x v="4"/>
    <n v="694929"/>
    <n v="6209746"/>
    <x v="1"/>
    <n v="1"/>
    <x v="2"/>
    <x v="2"/>
    <x v="2"/>
    <x v="1"/>
    <s v=" ="/>
    <n v="39"/>
    <s v="pct TS"/>
  </r>
  <r>
    <x v="2"/>
    <s v="Gribskov"/>
    <x v="4"/>
    <n v="695956"/>
    <n v="6208568"/>
    <x v="1"/>
    <n v="2"/>
    <x v="4"/>
    <x v="4"/>
    <x v="4"/>
    <x v="10"/>
    <s v=" ="/>
    <n v="11.000000522472"/>
    <s v="g/kg TS"/>
  </r>
  <r>
    <x v="1"/>
    <s v="Gribskov"/>
    <x v="4"/>
    <n v="694929"/>
    <n v="6209746"/>
    <x v="1"/>
    <n v="3"/>
    <x v="0"/>
    <x v="0"/>
    <x v="0"/>
    <x v="1"/>
    <s v=" ="/>
    <n v="34"/>
    <s v="pct TS"/>
  </r>
  <r>
    <x v="1"/>
    <s v="Gribskov"/>
    <x v="4"/>
    <n v="694929"/>
    <n v="6209746"/>
    <x v="1"/>
    <n v="4"/>
    <x v="1"/>
    <x v="1"/>
    <x v="1"/>
    <x v="10"/>
    <s v=" ="/>
    <n v="12.0000005699694"/>
    <s v="g/kg TS"/>
  </r>
  <r>
    <x v="0"/>
    <s v="Halsnæs"/>
    <x v="4"/>
    <n v="692735"/>
    <n v="6209960"/>
    <x v="1"/>
    <n v="1"/>
    <x v="2"/>
    <x v="2"/>
    <x v="2"/>
    <x v="5"/>
    <s v=" ="/>
    <n v="1.4000000664964301"/>
    <s v="g/kg TS"/>
  </r>
  <r>
    <x v="2"/>
    <s v="Gribskov"/>
    <x v="4"/>
    <n v="695956"/>
    <n v="6208568"/>
    <x v="1"/>
    <n v="2"/>
    <x v="4"/>
    <x v="4"/>
    <x v="4"/>
    <x v="1"/>
    <s v=" ="/>
    <n v="32"/>
    <s v="pct TS"/>
  </r>
  <r>
    <x v="0"/>
    <s v="Halsnæs"/>
    <x v="4"/>
    <n v="692735"/>
    <n v="6209960"/>
    <x v="1"/>
    <n v="6"/>
    <x v="3"/>
    <x v="10"/>
    <x v="10"/>
    <x v="1"/>
    <s v=" ="/>
    <n v="36"/>
    <s v="pct TS"/>
  </r>
  <r>
    <x v="1"/>
    <s v="Gribskov"/>
    <x v="4"/>
    <n v="694929"/>
    <n v="6209746"/>
    <x v="1"/>
    <n v="1"/>
    <x v="2"/>
    <x v="2"/>
    <x v="2"/>
    <x v="5"/>
    <s v=" ="/>
    <n v="1.8000000854954099"/>
    <s v="g/kg TS"/>
  </r>
  <r>
    <x v="2"/>
    <s v="Gribskov"/>
    <x v="4"/>
    <n v="695956"/>
    <n v="6208568"/>
    <x v="1"/>
    <n v="6"/>
    <x v="3"/>
    <x v="10"/>
    <x v="10"/>
    <x v="1"/>
    <s v=" ="/>
    <n v="13"/>
    <s v="pct TS"/>
  </r>
  <r>
    <x v="0"/>
    <s v="Halsnæs"/>
    <x v="4"/>
    <n v="692735"/>
    <n v="6209960"/>
    <x v="1"/>
    <n v="2"/>
    <x v="4"/>
    <x v="4"/>
    <x v="4"/>
    <x v="9"/>
    <s v=" ="/>
    <n v="4.9000000000000004"/>
    <s v="pct VV"/>
  </r>
  <r>
    <x v="0"/>
    <s v="Halsnæs"/>
    <x v="4"/>
    <n v="692735"/>
    <n v="6209960"/>
    <x v="1"/>
    <n v="2"/>
    <x v="4"/>
    <x v="4"/>
    <x v="4"/>
    <x v="10"/>
    <s v=" ="/>
    <n v="11.000000522472"/>
    <s v="g/kg TS"/>
  </r>
  <r>
    <x v="2"/>
    <s v="Gribskov"/>
    <x v="4"/>
    <n v="695956"/>
    <n v="6208568"/>
    <x v="1"/>
    <n v="3"/>
    <x v="0"/>
    <x v="0"/>
    <x v="0"/>
    <x v="10"/>
    <s v=" ="/>
    <n v="12.0000005699694"/>
    <s v="g/kg TS"/>
  </r>
  <r>
    <x v="1"/>
    <s v="Gribskov"/>
    <x v="4"/>
    <n v="694929"/>
    <n v="6209746"/>
    <x v="1"/>
    <n v="6"/>
    <x v="3"/>
    <x v="10"/>
    <x v="10"/>
    <x v="5"/>
    <s v=" ="/>
    <n v="0.52000002469867501"/>
    <s v="g/kg TS"/>
  </r>
  <r>
    <x v="2"/>
    <s v="Gribskov"/>
    <x v="4"/>
    <n v="695956"/>
    <n v="6208568"/>
    <x v="1"/>
    <n v="3"/>
    <x v="0"/>
    <x v="0"/>
    <x v="0"/>
    <x v="5"/>
    <s v=" ="/>
    <n v="1.5000000712461801"/>
    <s v="g/kg TS"/>
  </r>
  <r>
    <x v="2"/>
    <s v="Gribskov"/>
    <x v="4"/>
    <n v="695956"/>
    <n v="6208568"/>
    <x v="1"/>
    <n v="6"/>
    <x v="3"/>
    <x v="10"/>
    <x v="10"/>
    <x v="10"/>
    <s v=" ="/>
    <n v="10.000000474974501"/>
    <s v="g/kg TS"/>
  </r>
  <r>
    <x v="1"/>
    <s v="Gribskov"/>
    <x v="4"/>
    <n v="694929"/>
    <n v="6209746"/>
    <x v="1"/>
    <n v="2"/>
    <x v="4"/>
    <x v="4"/>
    <x v="4"/>
    <x v="9"/>
    <s v=" ="/>
    <n v="4.3"/>
    <s v="pct VV"/>
  </r>
  <r>
    <x v="0"/>
    <s v="Halsnæs"/>
    <x v="4"/>
    <n v="692735"/>
    <n v="6209960"/>
    <x v="1"/>
    <n v="3"/>
    <x v="0"/>
    <x v="0"/>
    <x v="0"/>
    <x v="5"/>
    <s v=" ="/>
    <n v="1.6000000759959201"/>
    <s v="g/kg TS"/>
  </r>
  <r>
    <x v="0"/>
    <s v="Halsnæs"/>
    <x v="4"/>
    <n v="692735"/>
    <n v="6209960"/>
    <x v="1"/>
    <n v="2"/>
    <x v="4"/>
    <x v="4"/>
    <x v="4"/>
    <x v="1"/>
    <s v=" ="/>
    <n v="33"/>
    <s v="pct TS"/>
  </r>
  <r>
    <x v="0"/>
    <s v="Halsnæs"/>
    <x v="4"/>
    <n v="692735"/>
    <n v="6209960"/>
    <x v="1"/>
    <n v="6"/>
    <x v="3"/>
    <x v="10"/>
    <x v="10"/>
    <x v="9"/>
    <s v=" ="/>
    <n v="11"/>
    <s v="pct VV"/>
  </r>
  <r>
    <x v="2"/>
    <s v="Gribskov"/>
    <x v="4"/>
    <n v="695956"/>
    <n v="6208568"/>
    <x v="1"/>
    <n v="1"/>
    <x v="2"/>
    <x v="2"/>
    <x v="2"/>
    <x v="1"/>
    <s v=" ="/>
    <n v="33"/>
    <s v="pct TS"/>
  </r>
  <r>
    <x v="2"/>
    <s v="Gribskov"/>
    <x v="4"/>
    <n v="695956"/>
    <n v="6208568"/>
    <x v="1"/>
    <n v="4"/>
    <x v="1"/>
    <x v="1"/>
    <x v="1"/>
    <x v="10"/>
    <s v=" ="/>
    <n v="11.000000522472"/>
    <s v="g/kg TS"/>
  </r>
  <r>
    <x v="1"/>
    <s v="Gribskov"/>
    <x v="4"/>
    <n v="694929"/>
    <n v="6209746"/>
    <x v="1"/>
    <n v="6"/>
    <x v="3"/>
    <x v="10"/>
    <x v="10"/>
    <x v="1"/>
    <s v=" ="/>
    <n v="16"/>
    <s v="pct TS"/>
  </r>
  <r>
    <x v="0"/>
    <s v="Halsnæs"/>
    <x v="4"/>
    <n v="692735"/>
    <n v="6209960"/>
    <x v="1"/>
    <n v="4"/>
    <x v="1"/>
    <x v="1"/>
    <x v="1"/>
    <x v="1"/>
    <s v=" ="/>
    <n v="30"/>
    <s v="pct TS"/>
  </r>
  <r>
    <x v="2"/>
    <s v="Gribskov"/>
    <x v="4"/>
    <n v="695956"/>
    <n v="6208568"/>
    <x v="1"/>
    <n v="4"/>
    <x v="1"/>
    <x v="1"/>
    <x v="1"/>
    <x v="5"/>
    <s v=" ="/>
    <n v="0.86000004084780801"/>
    <s v="g/kg TS"/>
  </r>
  <r>
    <x v="2"/>
    <s v="Gribskov"/>
    <x v="4"/>
    <n v="695956"/>
    <n v="6208568"/>
    <x v="1"/>
    <n v="5"/>
    <x v="5"/>
    <x v="5"/>
    <x v="5"/>
    <x v="10"/>
    <s v=" ="/>
    <n v="17.000000807456701"/>
    <s v="g/kg TS"/>
  </r>
  <r>
    <x v="2"/>
    <s v="Gribskov"/>
    <x v="4"/>
    <n v="695956"/>
    <n v="6208568"/>
    <x v="1"/>
    <n v="6"/>
    <x v="3"/>
    <x v="10"/>
    <x v="10"/>
    <x v="5"/>
    <s v="&lt;"/>
    <n v="0.10000000474974501"/>
    <s v="g/kg TS"/>
  </r>
  <r>
    <x v="0"/>
    <s v="Halsnæs"/>
    <x v="4"/>
    <n v="692735"/>
    <n v="6209960"/>
    <x v="1"/>
    <n v="2"/>
    <x v="4"/>
    <x v="4"/>
    <x v="4"/>
    <x v="5"/>
    <s v=" ="/>
    <n v="1.5000000712461801"/>
    <s v="g/kg TS"/>
  </r>
  <r>
    <x v="1"/>
    <s v="Gribskov"/>
    <x v="4"/>
    <n v="694929"/>
    <n v="6209746"/>
    <x v="1"/>
    <n v="3"/>
    <x v="0"/>
    <x v="0"/>
    <x v="0"/>
    <x v="9"/>
    <s v=" ="/>
    <n v="5.3"/>
    <s v="pct VV"/>
  </r>
  <r>
    <x v="0"/>
    <s v="Halsnæs"/>
    <x v="4"/>
    <n v="692735"/>
    <n v="6209960"/>
    <x v="1"/>
    <n v="4"/>
    <x v="1"/>
    <x v="1"/>
    <x v="1"/>
    <x v="5"/>
    <s v=" ="/>
    <n v="1.20000005699694"/>
    <s v="g/kg TS"/>
  </r>
  <r>
    <x v="2"/>
    <s v="Gribskov"/>
    <x v="4"/>
    <n v="695956"/>
    <n v="6208568"/>
    <x v="1"/>
    <n v="3"/>
    <x v="0"/>
    <x v="0"/>
    <x v="0"/>
    <x v="9"/>
    <s v=" ="/>
    <n v="6"/>
    <s v="pct VV"/>
  </r>
  <r>
    <x v="0"/>
    <s v="Halsnæs"/>
    <x v="4"/>
    <n v="692735"/>
    <n v="6209960"/>
    <x v="1"/>
    <n v="3"/>
    <x v="0"/>
    <x v="0"/>
    <x v="0"/>
    <x v="1"/>
    <s v=" ="/>
    <n v="26"/>
    <s v="pct TS"/>
  </r>
  <r>
    <x v="0"/>
    <s v="Halsnæs"/>
    <x v="4"/>
    <n v="692735"/>
    <n v="6209960"/>
    <x v="1"/>
    <n v="1"/>
    <x v="2"/>
    <x v="2"/>
    <x v="2"/>
    <x v="1"/>
    <s v=" ="/>
    <n v="34"/>
    <s v="pct TS"/>
  </r>
  <r>
    <x v="2"/>
    <s v="Gribskov"/>
    <x v="4"/>
    <n v="695956"/>
    <n v="6208568"/>
    <x v="1"/>
    <n v="1"/>
    <x v="2"/>
    <x v="2"/>
    <x v="2"/>
    <x v="5"/>
    <s v=" ="/>
    <n v="1.5000000712461801"/>
    <s v="g/kg TS"/>
  </r>
  <r>
    <x v="1"/>
    <s v="Gribskov"/>
    <x v="4"/>
    <n v="694929"/>
    <n v="6209746"/>
    <x v="1"/>
    <n v="3"/>
    <x v="0"/>
    <x v="0"/>
    <x v="0"/>
    <x v="10"/>
    <s v=" ="/>
    <n v="11.000000522472"/>
    <s v="g/kg TS"/>
  </r>
  <r>
    <x v="2"/>
    <s v="Gribskov"/>
    <x v="5"/>
    <n v="695956"/>
    <n v="6208568"/>
    <x v="1"/>
    <n v="2"/>
    <x v="4"/>
    <x v="4"/>
    <x v="4"/>
    <x v="10"/>
    <s v=" ="/>
    <n v="13.000000617466901"/>
    <s v="g/kg TS"/>
  </r>
  <r>
    <x v="2"/>
    <s v="Gribskov"/>
    <x v="5"/>
    <n v="695956"/>
    <n v="6208568"/>
    <x v="1"/>
    <n v="3"/>
    <x v="0"/>
    <x v="0"/>
    <x v="0"/>
    <x v="1"/>
    <s v=" ="/>
    <n v="28.8"/>
    <s v="pct TS"/>
  </r>
  <r>
    <x v="2"/>
    <s v="Gribskov"/>
    <x v="5"/>
    <n v="695956"/>
    <n v="6208568"/>
    <x v="1"/>
    <n v="4"/>
    <x v="1"/>
    <x v="1"/>
    <x v="1"/>
    <x v="10"/>
    <s v=" ="/>
    <n v="14.000000664964301"/>
    <s v="g/kg TS"/>
  </r>
  <r>
    <x v="2"/>
    <s v="Gribskov"/>
    <x v="5"/>
    <n v="695956"/>
    <n v="6208568"/>
    <x v="1"/>
    <n v="2"/>
    <x v="4"/>
    <x v="4"/>
    <x v="4"/>
    <x v="5"/>
    <s v=" ="/>
    <n v="1.9000000902451599"/>
    <s v="g/kg TS"/>
  </r>
  <r>
    <x v="0"/>
    <s v="Halsnæs"/>
    <x v="5"/>
    <n v="692735"/>
    <n v="6209960"/>
    <x v="1"/>
    <n v="5"/>
    <x v="5"/>
    <x v="5"/>
    <x v="5"/>
    <x v="9"/>
    <s v=" ="/>
    <n v="9.43"/>
    <s v="pct VV"/>
  </r>
  <r>
    <x v="2"/>
    <s v="Gribskov"/>
    <x v="5"/>
    <n v="695956"/>
    <n v="6208568"/>
    <x v="1"/>
    <n v="5"/>
    <x v="5"/>
    <x v="5"/>
    <x v="5"/>
    <x v="10"/>
    <s v=" ="/>
    <n v="15.0000007124618"/>
    <s v="g/kg TS"/>
  </r>
  <r>
    <x v="0"/>
    <s v="Halsnæs"/>
    <x v="5"/>
    <n v="692735"/>
    <n v="6209960"/>
    <x v="1"/>
    <n v="6"/>
    <x v="3"/>
    <x v="13"/>
    <x v="13"/>
    <x v="9"/>
    <s v=" ="/>
    <n v="14.3"/>
    <s v="pct VV"/>
  </r>
  <r>
    <x v="0"/>
    <s v="Halsnæs"/>
    <x v="5"/>
    <n v="692735"/>
    <n v="6209960"/>
    <x v="1"/>
    <n v="4"/>
    <x v="1"/>
    <x v="1"/>
    <x v="1"/>
    <x v="5"/>
    <s v=" ="/>
    <n v="0.92000004369765498"/>
    <s v="g/kg TS"/>
  </r>
  <r>
    <x v="1"/>
    <s v="Gribskov"/>
    <x v="5"/>
    <n v="694929"/>
    <n v="6209746"/>
    <x v="1"/>
    <n v="3"/>
    <x v="0"/>
    <x v="0"/>
    <x v="0"/>
    <x v="10"/>
    <s v=" ="/>
    <n v="12.0000005699694"/>
    <s v="g/kg TS"/>
  </r>
  <r>
    <x v="0"/>
    <s v="Halsnæs"/>
    <x v="5"/>
    <n v="692735"/>
    <n v="6209960"/>
    <x v="1"/>
    <n v="5"/>
    <x v="5"/>
    <x v="5"/>
    <x v="5"/>
    <x v="10"/>
    <s v=" ="/>
    <n v="16.0000007599592"/>
    <s v="g/kg TS"/>
  </r>
  <r>
    <x v="0"/>
    <s v="Halsnæs"/>
    <x v="5"/>
    <n v="692735"/>
    <n v="6209960"/>
    <x v="1"/>
    <n v="4"/>
    <x v="1"/>
    <x v="1"/>
    <x v="1"/>
    <x v="9"/>
    <s v=" ="/>
    <n v="13.9"/>
    <s v="pct VV"/>
  </r>
  <r>
    <x v="2"/>
    <s v="Gribskov"/>
    <x v="5"/>
    <n v="695956"/>
    <n v="6208568"/>
    <x v="1"/>
    <n v="5"/>
    <x v="5"/>
    <x v="5"/>
    <x v="5"/>
    <x v="9"/>
    <s v=" ="/>
    <n v="14.4"/>
    <s v="pct VV"/>
  </r>
  <r>
    <x v="2"/>
    <s v="Gribskov"/>
    <x v="5"/>
    <n v="695956"/>
    <n v="6208568"/>
    <x v="1"/>
    <n v="5"/>
    <x v="5"/>
    <x v="5"/>
    <x v="5"/>
    <x v="1"/>
    <s v=" ="/>
    <n v="20.6"/>
    <s v="pct TS"/>
  </r>
  <r>
    <x v="2"/>
    <s v="Gribskov"/>
    <x v="5"/>
    <n v="695956"/>
    <n v="6208568"/>
    <x v="1"/>
    <n v="6"/>
    <x v="3"/>
    <x v="12"/>
    <x v="12"/>
    <x v="1"/>
    <s v=" ="/>
    <n v="26"/>
    <s v="pct TS"/>
  </r>
  <r>
    <x v="0"/>
    <s v="Halsnæs"/>
    <x v="5"/>
    <n v="692735"/>
    <n v="6209960"/>
    <x v="1"/>
    <n v="1"/>
    <x v="2"/>
    <x v="2"/>
    <x v="2"/>
    <x v="1"/>
    <s v=" ="/>
    <n v="41.1"/>
    <s v="pct TS"/>
  </r>
  <r>
    <x v="2"/>
    <s v="Gribskov"/>
    <x v="5"/>
    <n v="695956"/>
    <n v="6208568"/>
    <x v="1"/>
    <n v="1"/>
    <x v="2"/>
    <x v="2"/>
    <x v="2"/>
    <x v="5"/>
    <s v=" ="/>
    <n v="1.8000000854954099"/>
    <s v="g/kg TS"/>
  </r>
  <r>
    <x v="1"/>
    <s v="Gribskov"/>
    <x v="5"/>
    <n v="694929"/>
    <n v="6209746"/>
    <x v="1"/>
    <n v="1"/>
    <x v="2"/>
    <x v="2"/>
    <x v="2"/>
    <x v="9"/>
    <s v=" ="/>
    <n v="3"/>
    <s v="pct VV"/>
  </r>
  <r>
    <x v="2"/>
    <s v="Gribskov"/>
    <x v="5"/>
    <n v="695956"/>
    <n v="6208568"/>
    <x v="1"/>
    <n v="3"/>
    <x v="0"/>
    <x v="0"/>
    <x v="0"/>
    <x v="5"/>
    <s v=" ="/>
    <n v="2.2000001044943902"/>
    <s v="g/kg TS"/>
  </r>
  <r>
    <x v="1"/>
    <s v="Gribskov"/>
    <x v="5"/>
    <n v="694929"/>
    <n v="6209746"/>
    <x v="1"/>
    <n v="2"/>
    <x v="4"/>
    <x v="4"/>
    <x v="4"/>
    <x v="5"/>
    <s v=" ="/>
    <n v="1.6000000759959201"/>
    <s v="g/kg TS"/>
  </r>
  <r>
    <x v="0"/>
    <s v="Halsnæs"/>
    <x v="5"/>
    <n v="692735"/>
    <n v="6209960"/>
    <x v="1"/>
    <n v="2"/>
    <x v="4"/>
    <x v="4"/>
    <x v="4"/>
    <x v="1"/>
    <s v=" ="/>
    <n v="40.700000000000003"/>
    <s v="pct TS"/>
  </r>
  <r>
    <x v="2"/>
    <s v="Gribskov"/>
    <x v="5"/>
    <n v="695956"/>
    <n v="6208568"/>
    <x v="1"/>
    <n v="4"/>
    <x v="1"/>
    <x v="1"/>
    <x v="1"/>
    <x v="1"/>
    <s v=" ="/>
    <n v="27.3"/>
    <s v="pct TS"/>
  </r>
  <r>
    <x v="2"/>
    <s v="Gribskov"/>
    <x v="5"/>
    <n v="695956"/>
    <n v="6208568"/>
    <x v="1"/>
    <n v="4"/>
    <x v="1"/>
    <x v="1"/>
    <x v="1"/>
    <x v="9"/>
    <s v=" ="/>
    <n v="9.3000000000000007"/>
    <s v="pct VV"/>
  </r>
  <r>
    <x v="0"/>
    <s v="Halsnæs"/>
    <x v="5"/>
    <n v="692735"/>
    <n v="6209960"/>
    <x v="1"/>
    <n v="3"/>
    <x v="0"/>
    <x v="0"/>
    <x v="0"/>
    <x v="10"/>
    <s v=" ="/>
    <n v="15.0000007124618"/>
    <s v="g/kg TS"/>
  </r>
  <r>
    <x v="1"/>
    <s v="Gribskov"/>
    <x v="5"/>
    <n v="694929"/>
    <n v="6209746"/>
    <x v="1"/>
    <n v="1"/>
    <x v="2"/>
    <x v="2"/>
    <x v="2"/>
    <x v="5"/>
    <s v=" ="/>
    <n v="1.5000000712461801"/>
    <s v="g/kg TS"/>
  </r>
  <r>
    <x v="2"/>
    <s v="Gribskov"/>
    <x v="5"/>
    <n v="695956"/>
    <n v="6208568"/>
    <x v="1"/>
    <n v="1"/>
    <x v="2"/>
    <x v="2"/>
    <x v="2"/>
    <x v="9"/>
    <s v=" ="/>
    <n v="3.3"/>
    <s v="pct VV"/>
  </r>
  <r>
    <x v="2"/>
    <s v="Gribskov"/>
    <x v="5"/>
    <n v="695956"/>
    <n v="6208568"/>
    <x v="1"/>
    <n v="3"/>
    <x v="0"/>
    <x v="0"/>
    <x v="0"/>
    <x v="10"/>
    <s v=" ="/>
    <n v="12.0000005699694"/>
    <s v="g/kg TS"/>
  </r>
  <r>
    <x v="1"/>
    <s v="Gribskov"/>
    <x v="5"/>
    <n v="694929"/>
    <n v="6209746"/>
    <x v="1"/>
    <n v="5"/>
    <x v="5"/>
    <x v="5"/>
    <x v="5"/>
    <x v="5"/>
    <s v=" ="/>
    <n v="1.20000005699694"/>
    <s v="g/kg TS"/>
  </r>
  <r>
    <x v="2"/>
    <s v="Gribskov"/>
    <x v="5"/>
    <n v="695956"/>
    <n v="6208568"/>
    <x v="1"/>
    <n v="5"/>
    <x v="5"/>
    <x v="5"/>
    <x v="5"/>
    <x v="5"/>
    <s v=" ="/>
    <n v="0.73000003467313901"/>
    <s v="g/kg TS"/>
  </r>
  <r>
    <x v="1"/>
    <s v="Gribskov"/>
    <x v="5"/>
    <n v="694929"/>
    <n v="6209746"/>
    <x v="1"/>
    <n v="4"/>
    <x v="1"/>
    <x v="1"/>
    <x v="1"/>
    <x v="5"/>
    <s v=" ="/>
    <n v="1.9000000902451599"/>
    <s v="g/kg TS"/>
  </r>
  <r>
    <x v="1"/>
    <s v="Gribskov"/>
    <x v="5"/>
    <n v="694929"/>
    <n v="6209746"/>
    <x v="1"/>
    <n v="4"/>
    <x v="1"/>
    <x v="1"/>
    <x v="1"/>
    <x v="10"/>
    <s v=" ="/>
    <n v="13.000000617466901"/>
    <s v="g/kg TS"/>
  </r>
  <r>
    <x v="1"/>
    <s v="Gribskov"/>
    <x v="5"/>
    <n v="694929"/>
    <n v="6209746"/>
    <x v="1"/>
    <n v="1"/>
    <x v="2"/>
    <x v="2"/>
    <x v="2"/>
    <x v="1"/>
    <s v=" ="/>
    <n v="31.4"/>
    <s v="pct TS"/>
  </r>
  <r>
    <x v="1"/>
    <s v="Gribskov"/>
    <x v="5"/>
    <n v="694929"/>
    <n v="6209746"/>
    <x v="1"/>
    <n v="5"/>
    <x v="5"/>
    <x v="5"/>
    <x v="5"/>
    <x v="1"/>
    <s v=" ="/>
    <n v="38.700000000000003"/>
    <s v="pct TS"/>
  </r>
  <r>
    <x v="1"/>
    <s v="Gribskov"/>
    <x v="5"/>
    <n v="694929"/>
    <n v="6209746"/>
    <x v="1"/>
    <n v="3"/>
    <x v="0"/>
    <x v="0"/>
    <x v="0"/>
    <x v="5"/>
    <s v=" ="/>
    <n v="1.7000000807456701"/>
    <s v="g/kg TS"/>
  </r>
  <r>
    <x v="1"/>
    <s v="Gribskov"/>
    <x v="5"/>
    <n v="694929"/>
    <n v="6209746"/>
    <x v="1"/>
    <n v="5"/>
    <x v="5"/>
    <x v="5"/>
    <x v="5"/>
    <x v="9"/>
    <s v=" ="/>
    <n v="9.4"/>
    <s v="pct VV"/>
  </r>
  <r>
    <x v="0"/>
    <s v="Halsnæs"/>
    <x v="5"/>
    <n v="692735"/>
    <n v="6209960"/>
    <x v="1"/>
    <n v="5"/>
    <x v="5"/>
    <x v="5"/>
    <x v="5"/>
    <x v="5"/>
    <s v=" ="/>
    <n v="1.7000000807456701"/>
    <s v="g/kg TS"/>
  </r>
  <r>
    <x v="1"/>
    <s v="Gribskov"/>
    <x v="5"/>
    <n v="694929"/>
    <n v="6209746"/>
    <x v="1"/>
    <n v="3"/>
    <x v="0"/>
    <x v="0"/>
    <x v="0"/>
    <x v="1"/>
    <s v=" ="/>
    <n v="36.6"/>
    <s v="pct TS"/>
  </r>
  <r>
    <x v="0"/>
    <s v="Halsnæs"/>
    <x v="5"/>
    <n v="692735"/>
    <n v="6209960"/>
    <x v="1"/>
    <n v="2"/>
    <x v="4"/>
    <x v="4"/>
    <x v="4"/>
    <x v="5"/>
    <s v=" ="/>
    <n v="2.2000001044943902"/>
    <s v="g/kg TS"/>
  </r>
  <r>
    <x v="1"/>
    <s v="Gribskov"/>
    <x v="5"/>
    <n v="694929"/>
    <n v="6209746"/>
    <x v="1"/>
    <n v="6"/>
    <x v="3"/>
    <x v="10"/>
    <x v="10"/>
    <x v="5"/>
    <s v=" ="/>
    <n v="0.79000003752298598"/>
    <s v="g/kg TS"/>
  </r>
  <r>
    <x v="2"/>
    <s v="Gribskov"/>
    <x v="5"/>
    <n v="695956"/>
    <n v="6208568"/>
    <x v="1"/>
    <n v="2"/>
    <x v="4"/>
    <x v="4"/>
    <x v="4"/>
    <x v="9"/>
    <s v=" ="/>
    <n v="5.7"/>
    <s v="pct VV"/>
  </r>
  <r>
    <x v="0"/>
    <s v="Halsnæs"/>
    <x v="5"/>
    <n v="692735"/>
    <n v="6209960"/>
    <x v="1"/>
    <n v="1"/>
    <x v="2"/>
    <x v="2"/>
    <x v="2"/>
    <x v="10"/>
    <s v=" ="/>
    <n v="8.5000004037283396"/>
    <s v="g/kg TS"/>
  </r>
  <r>
    <x v="0"/>
    <s v="Halsnæs"/>
    <x v="5"/>
    <n v="692735"/>
    <n v="6209960"/>
    <x v="1"/>
    <n v="2"/>
    <x v="4"/>
    <x v="4"/>
    <x v="4"/>
    <x v="9"/>
    <s v=" ="/>
    <n v="4.5"/>
    <s v="pct VV"/>
  </r>
  <r>
    <x v="0"/>
    <s v="Halsnæs"/>
    <x v="5"/>
    <n v="692735"/>
    <n v="6209960"/>
    <x v="1"/>
    <n v="1"/>
    <x v="2"/>
    <x v="2"/>
    <x v="2"/>
    <x v="5"/>
    <s v=" ="/>
    <n v="1.6000000759959201"/>
    <s v="g/kg TS"/>
  </r>
  <r>
    <x v="2"/>
    <s v="Gribskov"/>
    <x v="5"/>
    <n v="695956"/>
    <n v="6208568"/>
    <x v="1"/>
    <n v="1"/>
    <x v="2"/>
    <x v="2"/>
    <x v="2"/>
    <x v="1"/>
    <s v=" ="/>
    <n v="35.6"/>
    <s v="pct TS"/>
  </r>
  <r>
    <x v="0"/>
    <s v="Halsnæs"/>
    <x v="5"/>
    <n v="692735"/>
    <n v="6209960"/>
    <x v="1"/>
    <n v="6"/>
    <x v="3"/>
    <x v="13"/>
    <x v="13"/>
    <x v="10"/>
    <s v=" ="/>
    <n v="18.000000854954099"/>
    <s v="g/kg TS"/>
  </r>
  <r>
    <x v="0"/>
    <s v="Halsnæs"/>
    <x v="5"/>
    <n v="692735"/>
    <n v="6209960"/>
    <x v="1"/>
    <n v="6"/>
    <x v="3"/>
    <x v="13"/>
    <x v="13"/>
    <x v="5"/>
    <s v=" ="/>
    <n v="0.76000003609806299"/>
    <s v="g/kg TS"/>
  </r>
  <r>
    <x v="0"/>
    <s v="Halsnæs"/>
    <x v="5"/>
    <n v="692735"/>
    <n v="6209960"/>
    <x v="1"/>
    <n v="3"/>
    <x v="0"/>
    <x v="0"/>
    <x v="0"/>
    <x v="5"/>
    <s v=" ="/>
    <n v="1.7000000807456701"/>
    <s v="g/kg TS"/>
  </r>
  <r>
    <x v="1"/>
    <s v="Gribskov"/>
    <x v="5"/>
    <n v="694929"/>
    <n v="6209746"/>
    <x v="1"/>
    <n v="6"/>
    <x v="3"/>
    <x v="10"/>
    <x v="10"/>
    <x v="1"/>
    <s v=" ="/>
    <n v="22.3"/>
    <s v="pct TS"/>
  </r>
  <r>
    <x v="2"/>
    <s v="Gribskov"/>
    <x v="5"/>
    <n v="695956"/>
    <n v="6208568"/>
    <x v="1"/>
    <n v="3"/>
    <x v="0"/>
    <x v="0"/>
    <x v="0"/>
    <x v="9"/>
    <s v=" ="/>
    <n v="7.2"/>
    <s v="pct VV"/>
  </r>
  <r>
    <x v="1"/>
    <s v="Gribskov"/>
    <x v="5"/>
    <n v="694929"/>
    <n v="6209746"/>
    <x v="1"/>
    <n v="2"/>
    <x v="4"/>
    <x v="4"/>
    <x v="4"/>
    <x v="9"/>
    <s v=" ="/>
    <n v="4.3"/>
    <s v="pct VV"/>
  </r>
  <r>
    <x v="0"/>
    <s v="Halsnæs"/>
    <x v="5"/>
    <n v="692735"/>
    <n v="6209960"/>
    <x v="1"/>
    <n v="4"/>
    <x v="1"/>
    <x v="1"/>
    <x v="1"/>
    <x v="10"/>
    <s v=" ="/>
    <n v="7.6000003609806299"/>
    <s v="g/kg TS"/>
  </r>
  <r>
    <x v="1"/>
    <s v="Gribskov"/>
    <x v="5"/>
    <n v="694929"/>
    <n v="6209746"/>
    <x v="1"/>
    <n v="2"/>
    <x v="4"/>
    <x v="4"/>
    <x v="4"/>
    <x v="10"/>
    <s v=" ="/>
    <n v="9.8000004654750192"/>
    <s v="g/kg TS"/>
  </r>
  <r>
    <x v="0"/>
    <s v="Halsnæs"/>
    <x v="5"/>
    <n v="692735"/>
    <n v="6209960"/>
    <x v="1"/>
    <n v="3"/>
    <x v="0"/>
    <x v="0"/>
    <x v="0"/>
    <x v="1"/>
    <s v=" ="/>
    <n v="36.299999999999997"/>
    <s v="pct TS"/>
  </r>
  <r>
    <x v="0"/>
    <s v="Halsnæs"/>
    <x v="5"/>
    <n v="692735"/>
    <n v="6209960"/>
    <x v="1"/>
    <n v="3"/>
    <x v="0"/>
    <x v="0"/>
    <x v="0"/>
    <x v="9"/>
    <s v=" ="/>
    <n v="6.5"/>
    <s v="pct VV"/>
  </r>
  <r>
    <x v="2"/>
    <s v="Gribskov"/>
    <x v="5"/>
    <n v="695956"/>
    <n v="6208568"/>
    <x v="1"/>
    <n v="6"/>
    <x v="3"/>
    <x v="12"/>
    <x v="12"/>
    <x v="10"/>
    <s v=" ="/>
    <n v="17.000000807456701"/>
    <s v="g/kg TS"/>
  </r>
  <r>
    <x v="2"/>
    <s v="Gribskov"/>
    <x v="5"/>
    <n v="695956"/>
    <n v="6208568"/>
    <x v="1"/>
    <n v="4"/>
    <x v="1"/>
    <x v="1"/>
    <x v="1"/>
    <x v="5"/>
    <s v=" ="/>
    <n v="1.20000005699694"/>
    <s v="g/kg TS"/>
  </r>
  <r>
    <x v="1"/>
    <s v="Gribskov"/>
    <x v="5"/>
    <n v="694929"/>
    <n v="6209746"/>
    <x v="1"/>
    <n v="4"/>
    <x v="1"/>
    <x v="1"/>
    <x v="1"/>
    <x v="9"/>
    <s v=" ="/>
    <n v="7.3"/>
    <s v="pct VV"/>
  </r>
  <r>
    <x v="1"/>
    <s v="Gribskov"/>
    <x v="5"/>
    <n v="694929"/>
    <n v="6209746"/>
    <x v="1"/>
    <n v="6"/>
    <x v="3"/>
    <x v="10"/>
    <x v="10"/>
    <x v="10"/>
    <s v=" ="/>
    <n v="18.000000854954099"/>
    <s v="g/kg TS"/>
  </r>
  <r>
    <x v="1"/>
    <s v="Gribskov"/>
    <x v="5"/>
    <n v="694929"/>
    <n v="6209746"/>
    <x v="1"/>
    <n v="2"/>
    <x v="4"/>
    <x v="4"/>
    <x v="4"/>
    <x v="1"/>
    <s v=" ="/>
    <n v="36.6"/>
    <s v="pct TS"/>
  </r>
  <r>
    <x v="0"/>
    <s v="Halsnæs"/>
    <x v="5"/>
    <n v="692735"/>
    <n v="6209960"/>
    <x v="1"/>
    <n v="6"/>
    <x v="3"/>
    <x v="13"/>
    <x v="13"/>
    <x v="1"/>
    <s v=" ="/>
    <n v="20.100000000000001"/>
    <s v="pct TS"/>
  </r>
  <r>
    <x v="0"/>
    <s v="Halsnæs"/>
    <x v="5"/>
    <n v="692735"/>
    <n v="6209960"/>
    <x v="1"/>
    <n v="5"/>
    <x v="5"/>
    <x v="5"/>
    <x v="5"/>
    <x v="1"/>
    <s v=" ="/>
    <n v="33.299999999999997"/>
    <s v="pct TS"/>
  </r>
  <r>
    <x v="2"/>
    <s v="Gribskov"/>
    <x v="5"/>
    <n v="695956"/>
    <n v="6208568"/>
    <x v="1"/>
    <n v="1"/>
    <x v="2"/>
    <x v="2"/>
    <x v="2"/>
    <x v="10"/>
    <s v=" ="/>
    <n v="10.000000474974501"/>
    <s v="g/kg TS"/>
  </r>
  <r>
    <x v="1"/>
    <s v="Gribskov"/>
    <x v="5"/>
    <n v="694929"/>
    <n v="6209746"/>
    <x v="1"/>
    <n v="4"/>
    <x v="1"/>
    <x v="1"/>
    <x v="1"/>
    <x v="1"/>
    <s v=" ="/>
    <n v="32.700000000000003"/>
    <s v="pct TS"/>
  </r>
  <r>
    <x v="2"/>
    <s v="Gribskov"/>
    <x v="5"/>
    <n v="695956"/>
    <n v="6208568"/>
    <x v="1"/>
    <n v="6"/>
    <x v="3"/>
    <x v="12"/>
    <x v="12"/>
    <x v="5"/>
    <s v=" ="/>
    <n v="0.96000004559755303"/>
    <s v="g/kg TS"/>
  </r>
  <r>
    <x v="2"/>
    <s v="Gribskov"/>
    <x v="5"/>
    <n v="695956"/>
    <n v="6208568"/>
    <x v="1"/>
    <n v="2"/>
    <x v="4"/>
    <x v="4"/>
    <x v="4"/>
    <x v="1"/>
    <s v=" ="/>
    <n v="28.8"/>
    <s v="pct TS"/>
  </r>
  <r>
    <x v="0"/>
    <s v="Halsnæs"/>
    <x v="5"/>
    <n v="692735"/>
    <n v="6209960"/>
    <x v="1"/>
    <n v="2"/>
    <x v="4"/>
    <x v="4"/>
    <x v="4"/>
    <x v="10"/>
    <s v=" ="/>
    <n v="13.000000617466901"/>
    <s v="g/kg TS"/>
  </r>
  <r>
    <x v="1"/>
    <s v="Gribskov"/>
    <x v="5"/>
    <n v="694929"/>
    <n v="6209746"/>
    <x v="1"/>
    <n v="6"/>
    <x v="3"/>
    <x v="10"/>
    <x v="10"/>
    <x v="9"/>
    <s v=" ="/>
    <n v="14.1"/>
    <s v="pct VV"/>
  </r>
  <r>
    <x v="2"/>
    <s v="Gribskov"/>
    <x v="5"/>
    <n v="695956"/>
    <n v="6208568"/>
    <x v="1"/>
    <n v="6"/>
    <x v="3"/>
    <x v="12"/>
    <x v="12"/>
    <x v="9"/>
    <s v=" ="/>
    <n v="14.3"/>
    <s v="pct VV"/>
  </r>
  <r>
    <x v="0"/>
    <s v="Halsnæs"/>
    <x v="5"/>
    <n v="692735"/>
    <n v="6209960"/>
    <x v="1"/>
    <n v="1"/>
    <x v="2"/>
    <x v="2"/>
    <x v="2"/>
    <x v="9"/>
    <s v=" ="/>
    <n v="2.9"/>
    <s v="pct VV"/>
  </r>
  <r>
    <x v="1"/>
    <s v="Gribskov"/>
    <x v="5"/>
    <n v="694929"/>
    <n v="6209746"/>
    <x v="1"/>
    <n v="1"/>
    <x v="2"/>
    <x v="2"/>
    <x v="2"/>
    <x v="10"/>
    <s v=" ="/>
    <n v="7.8000003704801202"/>
    <s v="g/kg TS"/>
  </r>
  <r>
    <x v="1"/>
    <s v="Gribskov"/>
    <x v="5"/>
    <n v="694929"/>
    <n v="6209746"/>
    <x v="1"/>
    <n v="3"/>
    <x v="0"/>
    <x v="0"/>
    <x v="0"/>
    <x v="9"/>
    <s v=" ="/>
    <n v="6.2"/>
    <s v="pct VV"/>
  </r>
  <r>
    <x v="1"/>
    <s v="Gribskov"/>
    <x v="5"/>
    <n v="694929"/>
    <n v="6209746"/>
    <x v="1"/>
    <n v="5"/>
    <x v="5"/>
    <x v="5"/>
    <x v="5"/>
    <x v="10"/>
    <s v=" ="/>
    <n v="9.6000004559755308"/>
    <s v="g/kg TS"/>
  </r>
  <r>
    <x v="0"/>
    <s v="Halsnæs"/>
    <x v="5"/>
    <n v="692735"/>
    <n v="6209960"/>
    <x v="1"/>
    <n v="4"/>
    <x v="1"/>
    <x v="1"/>
    <x v="1"/>
    <x v="1"/>
    <s v=" ="/>
    <n v="28"/>
    <s v="pct 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10098-9F85-684A-879F-7055F08FB0D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G43" firstHeaderRow="1" firstDataRow="2" firstDataCol="1" rowPageCount="1" colPageCount="1"/>
  <pivotFields count="17">
    <pivotField axis="axisRow" showAll="0" defaultSubtotal="0">
      <items count="3">
        <item x="0"/>
        <item x="2"/>
        <item x="1"/>
      </items>
    </pivotField>
    <pivotField showAll="0" defaultSubtotal="0"/>
    <pivotField numFmtId="164"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showAll="0" defaultSubtotal="0">
      <items count="6">
        <item x="2"/>
        <item x="4"/>
        <item x="0"/>
        <item x="1"/>
        <item x="5"/>
        <item x="3"/>
      </items>
    </pivotField>
    <pivotField showAll="0" defaultSubtotal="0">
      <items count="14">
        <item x="2"/>
        <item x="4"/>
        <item x="6"/>
        <item x="0"/>
        <item x="1"/>
        <item x="5"/>
        <item x="3"/>
        <item x="8"/>
        <item x="7"/>
        <item x="9"/>
        <item x="11"/>
        <item x="12"/>
        <item x="13"/>
        <item x="10"/>
      </items>
    </pivotField>
    <pivotField axis="axisRow" subtotalTop="0" showAll="0" defaultSubtotal="0">
      <items count="14">
        <item x="2"/>
        <item x="1"/>
        <item x="4"/>
        <item x="5"/>
        <item x="3"/>
        <item x="8"/>
        <item x="7"/>
        <item x="9"/>
        <item x="11"/>
        <item x="12"/>
        <item x="13"/>
        <item x="10"/>
        <item x="0"/>
        <item x="6"/>
      </items>
    </pivotField>
    <pivotField axis="axisPage" multipleItemSelectionAllowed="1" showAll="0" defaultSubtotal="0">
      <items count="11">
        <item h="1" x="6"/>
        <item h="1" x="0"/>
        <item h="1" x="1"/>
        <item h="1" x="10"/>
        <item h="1" x="3"/>
        <item h="1" x="7"/>
        <item h="1" x="4"/>
        <item h="1" x="2"/>
        <item h="1" x="8"/>
        <item h="1" x="5"/>
        <item x="9"/>
      </items>
    </pivotField>
    <pivotField showAll="0" defaultSubtotal="0"/>
    <pivotField dataField="1" numFmtId="165" showAll="0" defaultSubtotal="0"/>
    <pivotField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</items>
    </pivotField>
  </pivotFields>
  <rowFields count="3">
    <field x="0"/>
    <field x="5"/>
    <field x="9"/>
  </rowFields>
  <rowItems count="39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7"/>
    </i>
    <i r="2">
      <x v="8"/>
    </i>
    <i r="2">
      <x v="10"/>
    </i>
    <i r="2">
      <x v="11"/>
    </i>
    <i r="2">
      <x v="12"/>
    </i>
    <i r="1">
      <x v="1"/>
    </i>
    <i r="2">
      <x/>
    </i>
    <i r="2">
      <x v="1"/>
    </i>
    <i r="2">
      <x v="2"/>
    </i>
    <i r="2">
      <x v="3"/>
    </i>
    <i r="2">
      <x v="4"/>
    </i>
    <i r="2">
      <x v="12"/>
    </i>
    <i>
      <x v="1"/>
    </i>
    <i r="1">
      <x/>
    </i>
    <i r="2">
      <x/>
    </i>
    <i r="2">
      <x v="1"/>
    </i>
    <i r="2">
      <x v="2"/>
    </i>
    <i r="2">
      <x v="3"/>
    </i>
    <i r="2">
      <x v="6"/>
    </i>
    <i r="2">
      <x v="9"/>
    </i>
    <i r="2">
      <x v="11"/>
    </i>
    <i r="2">
      <x v="12"/>
    </i>
    <i>
      <x v="2"/>
    </i>
    <i r="1">
      <x/>
    </i>
    <i r="2">
      <x/>
    </i>
    <i r="2">
      <x v="1"/>
    </i>
    <i r="2">
      <x v="2"/>
    </i>
    <i r="2">
      <x v="3"/>
    </i>
    <i r="2">
      <x v="5"/>
    </i>
    <i r="2">
      <x v="11"/>
    </i>
    <i r="2">
      <x v="12"/>
    </i>
    <i r="2">
      <x v="13"/>
    </i>
  </rowItems>
  <colFields count="1">
    <field x="16"/>
  </colFields>
  <colItems count="6">
    <i>
      <x v="1"/>
    </i>
    <i>
      <x v="5"/>
    </i>
    <i>
      <x v="10"/>
    </i>
    <i>
      <x v="17"/>
    </i>
    <i>
      <x v="22"/>
    </i>
    <i>
      <x v="26"/>
    </i>
  </colItems>
  <pageFields count="1">
    <pageField fld="10" hier="-1"/>
  </pageFields>
  <dataFields count="1">
    <dataField name="Average of Resultat" fld="12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2B07-C5BA-DC41-B511-B497CCFF6D34}">
  <sheetPr filterMode="1"/>
  <dimension ref="A1:N598"/>
  <sheetViews>
    <sheetView tabSelected="1" topLeftCell="E1" workbookViewId="0">
      <selection activeCell="O30" sqref="O30"/>
    </sheetView>
  </sheetViews>
  <sheetFormatPr baseColWidth="10" defaultRowHeight="16" x14ac:dyDescent="0.2"/>
  <cols>
    <col min="1" max="1" width="11.83203125" bestFit="1" customWidth="1"/>
    <col min="2" max="2" width="11.6640625" bestFit="1" customWidth="1"/>
    <col min="3" max="3" width="10.5" customWidth="1"/>
    <col min="4" max="5" width="21.1640625" bestFit="1" customWidth="1"/>
    <col min="6" max="6" width="14" bestFit="1" customWidth="1"/>
    <col min="7" max="7" width="8.1640625" bestFit="1" customWidth="1"/>
    <col min="8" max="8" width="20.83203125" bestFit="1" customWidth="1"/>
    <col min="9" max="9" width="20.33203125" bestFit="1" customWidth="1"/>
    <col min="10" max="10" width="20.33203125" customWidth="1"/>
    <col min="11" max="11" width="21.6640625" bestFit="1" customWidth="1"/>
    <col min="12" max="12" width="17.33203125" bestFit="1" customWidth="1"/>
    <col min="13" max="13" width="12.1640625" bestFit="1" customWidth="1"/>
    <col min="14" max="14" width="8.6640625" bestFit="1" customWidth="1"/>
  </cols>
  <sheetData>
    <row r="1" spans="1:14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2">
      <c r="A2" t="s">
        <v>18</v>
      </c>
      <c r="B2" t="s">
        <v>19</v>
      </c>
      <c r="C2" s="2">
        <v>34330</v>
      </c>
      <c r="D2">
        <v>692735</v>
      </c>
      <c r="E2">
        <v>6209960</v>
      </c>
      <c r="F2">
        <v>2</v>
      </c>
      <c r="G2">
        <v>3</v>
      </c>
      <c r="H2">
        <v>5</v>
      </c>
      <c r="I2">
        <v>10</v>
      </c>
      <c r="J2" t="str">
        <f>_xlfn.TEXTJOIN("-",,H2,I2)</f>
        <v>5-10</v>
      </c>
      <c r="K2" t="s">
        <v>20</v>
      </c>
      <c r="L2" t="s">
        <v>16</v>
      </c>
      <c r="M2" s="3">
        <v>75.000003562308805</v>
      </c>
      <c r="N2" t="s">
        <v>17</v>
      </c>
    </row>
    <row r="3" spans="1:14" hidden="1" x14ac:dyDescent="0.2">
      <c r="A3" t="s">
        <v>18</v>
      </c>
      <c r="B3" t="s">
        <v>19</v>
      </c>
      <c r="C3" s="2">
        <v>34330</v>
      </c>
      <c r="D3">
        <v>692735</v>
      </c>
      <c r="E3">
        <v>6209960</v>
      </c>
      <c r="F3">
        <v>1</v>
      </c>
      <c r="G3">
        <v>4</v>
      </c>
      <c r="H3">
        <v>10</v>
      </c>
      <c r="I3">
        <v>20</v>
      </c>
      <c r="J3" t="str">
        <f t="shared" ref="J3:J66" si="0">_xlfn.TEXTJOIN("-",,H3,I3)</f>
        <v>10-20</v>
      </c>
      <c r="K3" t="s">
        <v>20</v>
      </c>
      <c r="L3" t="s">
        <v>16</v>
      </c>
      <c r="M3" s="3">
        <v>58.000002754852197</v>
      </c>
      <c r="N3" t="s">
        <v>17</v>
      </c>
    </row>
    <row r="4" spans="1:14" hidden="1" x14ac:dyDescent="0.2">
      <c r="A4" t="s">
        <v>18</v>
      </c>
      <c r="B4" t="s">
        <v>19</v>
      </c>
      <c r="C4" s="2">
        <v>34330</v>
      </c>
      <c r="D4">
        <v>692735</v>
      </c>
      <c r="E4">
        <v>6209960</v>
      </c>
      <c r="F4">
        <v>2</v>
      </c>
      <c r="G4">
        <v>1</v>
      </c>
      <c r="H4">
        <v>0</v>
      </c>
      <c r="I4">
        <v>2</v>
      </c>
      <c r="J4" t="str">
        <f t="shared" si="0"/>
        <v>0-2</v>
      </c>
      <c r="K4" t="s">
        <v>25</v>
      </c>
      <c r="L4" t="s">
        <v>16</v>
      </c>
      <c r="M4" s="3">
        <v>7.2400001078844101</v>
      </c>
      <c r="N4" t="s">
        <v>26</v>
      </c>
    </row>
    <row r="5" spans="1:14" hidden="1" x14ac:dyDescent="0.2">
      <c r="A5" t="s">
        <v>18</v>
      </c>
      <c r="B5" t="s">
        <v>19</v>
      </c>
      <c r="C5" s="2">
        <v>34330</v>
      </c>
      <c r="D5">
        <v>692735</v>
      </c>
      <c r="E5">
        <v>6209960</v>
      </c>
      <c r="F5">
        <v>1</v>
      </c>
      <c r="G5">
        <v>4</v>
      </c>
      <c r="H5">
        <v>10</v>
      </c>
      <c r="I5">
        <v>20</v>
      </c>
      <c r="J5" t="str">
        <f t="shared" si="0"/>
        <v>10-20</v>
      </c>
      <c r="K5" t="s">
        <v>28</v>
      </c>
      <c r="L5" t="s">
        <v>16</v>
      </c>
      <c r="M5" s="3">
        <v>0.27100001287180903</v>
      </c>
      <c r="N5" t="s">
        <v>17</v>
      </c>
    </row>
    <row r="6" spans="1:14" hidden="1" x14ac:dyDescent="0.2">
      <c r="A6" t="s">
        <v>21</v>
      </c>
      <c r="B6" t="s">
        <v>14</v>
      </c>
      <c r="C6" s="2">
        <v>34330</v>
      </c>
      <c r="D6">
        <v>694929</v>
      </c>
      <c r="E6">
        <v>6209746</v>
      </c>
      <c r="F6">
        <v>1</v>
      </c>
      <c r="G6">
        <v>1</v>
      </c>
      <c r="H6">
        <v>0</v>
      </c>
      <c r="I6">
        <v>2</v>
      </c>
      <c r="J6" t="str">
        <f>_xlfn.TEXTJOIN("-",,H6,I6)</f>
        <v>0-2</v>
      </c>
      <c r="K6" t="s">
        <v>24</v>
      </c>
      <c r="L6" t="s">
        <v>16</v>
      </c>
      <c r="M6" s="3">
        <v>3.7400001776404701</v>
      </c>
      <c r="N6" t="s">
        <v>17</v>
      </c>
    </row>
    <row r="7" spans="1:14" hidden="1" x14ac:dyDescent="0.2">
      <c r="A7" t="s">
        <v>18</v>
      </c>
      <c r="B7" t="s">
        <v>19</v>
      </c>
      <c r="C7" s="2">
        <v>34330</v>
      </c>
      <c r="D7">
        <v>692735</v>
      </c>
      <c r="E7">
        <v>6209960</v>
      </c>
      <c r="F7">
        <v>1</v>
      </c>
      <c r="G7">
        <v>6</v>
      </c>
      <c r="H7">
        <v>30</v>
      </c>
      <c r="I7">
        <v>38</v>
      </c>
      <c r="J7" t="str">
        <f>_xlfn.TEXTJOIN("-",,H7,I7)</f>
        <v>30-38</v>
      </c>
      <c r="K7" t="s">
        <v>29</v>
      </c>
      <c r="L7" t="s">
        <v>16</v>
      </c>
      <c r="M7" s="3">
        <v>0.126000005984679</v>
      </c>
      <c r="N7" t="s">
        <v>17</v>
      </c>
    </row>
    <row r="8" spans="1:14" hidden="1" x14ac:dyDescent="0.2">
      <c r="A8" t="s">
        <v>18</v>
      </c>
      <c r="B8" t="s">
        <v>19</v>
      </c>
      <c r="C8" s="2">
        <v>34330</v>
      </c>
      <c r="D8">
        <v>692735</v>
      </c>
      <c r="E8">
        <v>6209960</v>
      </c>
      <c r="F8">
        <v>2</v>
      </c>
      <c r="G8">
        <v>1</v>
      </c>
      <c r="H8">
        <v>0</v>
      </c>
      <c r="I8">
        <v>2</v>
      </c>
      <c r="J8" t="str">
        <f>_xlfn.TEXTJOIN("-",,H8,I8)</f>
        <v>0-2</v>
      </c>
      <c r="K8" t="s">
        <v>24</v>
      </c>
      <c r="L8" t="s">
        <v>16</v>
      </c>
      <c r="M8" s="3">
        <v>4.18000019853935</v>
      </c>
      <c r="N8" t="s">
        <v>17</v>
      </c>
    </row>
    <row r="9" spans="1:14" hidden="1" x14ac:dyDescent="0.2">
      <c r="A9" t="s">
        <v>18</v>
      </c>
      <c r="B9" t="s">
        <v>19</v>
      </c>
      <c r="C9" s="2">
        <v>34330</v>
      </c>
      <c r="D9">
        <v>692735</v>
      </c>
      <c r="E9">
        <v>6209960</v>
      </c>
      <c r="F9">
        <v>1</v>
      </c>
      <c r="G9">
        <v>5</v>
      </c>
      <c r="H9">
        <v>20</v>
      </c>
      <c r="I9">
        <v>30</v>
      </c>
      <c r="J9" t="str">
        <f>_xlfn.TEXTJOIN("-",,H9,I9)</f>
        <v>20-30</v>
      </c>
      <c r="K9" t="s">
        <v>24</v>
      </c>
      <c r="L9" t="s">
        <v>16</v>
      </c>
      <c r="M9" s="3">
        <v>12.5000005937181</v>
      </c>
      <c r="N9" t="s">
        <v>17</v>
      </c>
    </row>
    <row r="10" spans="1:14" hidden="1" x14ac:dyDescent="0.2">
      <c r="A10" t="s">
        <v>18</v>
      </c>
      <c r="B10" t="s">
        <v>19</v>
      </c>
      <c r="C10" s="2">
        <v>34330</v>
      </c>
      <c r="D10">
        <v>692735</v>
      </c>
      <c r="E10">
        <v>6209960</v>
      </c>
      <c r="F10">
        <v>1</v>
      </c>
      <c r="G10">
        <v>1</v>
      </c>
      <c r="H10">
        <v>0</v>
      </c>
      <c r="I10">
        <v>2</v>
      </c>
      <c r="J10" t="str">
        <f>_xlfn.TEXTJOIN("-",,H10,I10)</f>
        <v>0-2</v>
      </c>
      <c r="K10" t="s">
        <v>24</v>
      </c>
      <c r="L10" t="s">
        <v>16</v>
      </c>
      <c r="M10" s="3">
        <v>16.600000788457699</v>
      </c>
      <c r="N10" t="s">
        <v>17</v>
      </c>
    </row>
    <row r="11" spans="1:14" hidden="1" x14ac:dyDescent="0.2">
      <c r="A11" t="s">
        <v>18</v>
      </c>
      <c r="B11" t="s">
        <v>19</v>
      </c>
      <c r="C11" s="2">
        <v>34330</v>
      </c>
      <c r="D11">
        <v>692735</v>
      </c>
      <c r="E11">
        <v>6209960</v>
      </c>
      <c r="F11">
        <v>2</v>
      </c>
      <c r="G11">
        <v>2</v>
      </c>
      <c r="H11">
        <v>2</v>
      </c>
      <c r="I11">
        <v>5</v>
      </c>
      <c r="J11" t="str">
        <f>_xlfn.TEXTJOIN("-",,H11,I11)</f>
        <v>2-5</v>
      </c>
      <c r="K11" t="s">
        <v>29</v>
      </c>
      <c r="L11" t="s">
        <v>16</v>
      </c>
      <c r="M11" s="3">
        <v>8.0000003799796104E-3</v>
      </c>
      <c r="N11" t="s">
        <v>17</v>
      </c>
    </row>
    <row r="12" spans="1:14" hidden="1" x14ac:dyDescent="0.2">
      <c r="A12" t="s">
        <v>18</v>
      </c>
      <c r="B12" t="s">
        <v>19</v>
      </c>
      <c r="C12" s="2">
        <v>34330</v>
      </c>
      <c r="D12">
        <v>692735</v>
      </c>
      <c r="E12">
        <v>6209960</v>
      </c>
      <c r="F12">
        <v>2</v>
      </c>
      <c r="G12">
        <v>6</v>
      </c>
      <c r="H12">
        <v>30</v>
      </c>
      <c r="I12">
        <v>38</v>
      </c>
      <c r="J12" t="str">
        <f>_xlfn.TEXTJOIN("-",,H12,I12)</f>
        <v>30-38</v>
      </c>
      <c r="K12" t="s">
        <v>30</v>
      </c>
      <c r="L12" t="s">
        <v>16</v>
      </c>
      <c r="M12" s="3">
        <v>9.00000042747706E-3</v>
      </c>
      <c r="N12" t="s">
        <v>17</v>
      </c>
    </row>
    <row r="13" spans="1:14" hidden="1" x14ac:dyDescent="0.2">
      <c r="A13" t="s">
        <v>18</v>
      </c>
      <c r="B13" t="s">
        <v>19</v>
      </c>
      <c r="C13" s="2">
        <v>34330</v>
      </c>
      <c r="D13">
        <v>692735</v>
      </c>
      <c r="E13">
        <v>6209960</v>
      </c>
      <c r="F13">
        <v>1</v>
      </c>
      <c r="G13">
        <v>2</v>
      </c>
      <c r="H13">
        <v>2</v>
      </c>
      <c r="I13">
        <v>5</v>
      </c>
      <c r="J13" t="str">
        <f>_xlfn.TEXTJOIN("-",,H13,I13)</f>
        <v>2-5</v>
      </c>
      <c r="K13" t="s">
        <v>31</v>
      </c>
      <c r="L13" t="s">
        <v>16</v>
      </c>
      <c r="M13" s="3">
        <v>0.32100001524668198</v>
      </c>
      <c r="N13" t="s">
        <v>17</v>
      </c>
    </row>
    <row r="14" spans="1:14" hidden="1" x14ac:dyDescent="0.2">
      <c r="A14" t="s">
        <v>18</v>
      </c>
      <c r="B14" t="s">
        <v>19</v>
      </c>
      <c r="C14" s="2">
        <v>34330</v>
      </c>
      <c r="D14">
        <v>692735</v>
      </c>
      <c r="E14">
        <v>6209960</v>
      </c>
      <c r="F14">
        <v>1</v>
      </c>
      <c r="G14">
        <v>6</v>
      </c>
      <c r="H14">
        <v>30</v>
      </c>
      <c r="I14">
        <v>38</v>
      </c>
      <c r="J14" t="str">
        <f>_xlfn.TEXTJOIN("-",,H14,I14)</f>
        <v>30-38</v>
      </c>
      <c r="K14" t="s">
        <v>32</v>
      </c>
      <c r="L14" t="s">
        <v>16</v>
      </c>
      <c r="M14" s="3">
        <v>0.52200002479367003</v>
      </c>
      <c r="N14" t="s">
        <v>17</v>
      </c>
    </row>
    <row r="15" spans="1:14" hidden="1" x14ac:dyDescent="0.2">
      <c r="A15" t="s">
        <v>18</v>
      </c>
      <c r="B15" t="s">
        <v>19</v>
      </c>
      <c r="C15" s="2">
        <v>34330</v>
      </c>
      <c r="D15">
        <v>692735</v>
      </c>
      <c r="E15">
        <v>6209960</v>
      </c>
      <c r="F15">
        <v>2</v>
      </c>
      <c r="G15">
        <v>5</v>
      </c>
      <c r="H15">
        <v>20</v>
      </c>
      <c r="I15">
        <v>30</v>
      </c>
      <c r="J15" t="str">
        <f>_xlfn.TEXTJOIN("-",,H15,I15)</f>
        <v>20-30</v>
      </c>
      <c r="K15" t="s">
        <v>31</v>
      </c>
      <c r="L15" t="s">
        <v>16</v>
      </c>
      <c r="M15" s="3">
        <v>0.275000013061799</v>
      </c>
      <c r="N15" t="s">
        <v>17</v>
      </c>
    </row>
    <row r="16" spans="1:14" hidden="1" x14ac:dyDescent="0.2">
      <c r="A16" t="s">
        <v>18</v>
      </c>
      <c r="B16" t="s">
        <v>19</v>
      </c>
      <c r="C16" s="2">
        <v>34330</v>
      </c>
      <c r="D16">
        <v>692735</v>
      </c>
      <c r="E16">
        <v>6209960</v>
      </c>
      <c r="F16">
        <v>2</v>
      </c>
      <c r="G16">
        <v>5</v>
      </c>
      <c r="H16">
        <v>20</v>
      </c>
      <c r="I16">
        <v>30</v>
      </c>
      <c r="J16" t="str">
        <f>_xlfn.TEXTJOIN("-",,H16,I16)</f>
        <v>20-30</v>
      </c>
      <c r="K16" t="s">
        <v>22</v>
      </c>
      <c r="L16" t="s">
        <v>16</v>
      </c>
      <c r="M16" s="3">
        <v>14.5000002160668</v>
      </c>
      <c r="N16" t="s">
        <v>23</v>
      </c>
    </row>
    <row r="17" spans="1:14" hidden="1" x14ac:dyDescent="0.2">
      <c r="A17" t="s">
        <v>21</v>
      </c>
      <c r="B17" t="s">
        <v>14</v>
      </c>
      <c r="C17" s="2">
        <v>34330</v>
      </c>
      <c r="D17">
        <v>694929</v>
      </c>
      <c r="E17">
        <v>6209746</v>
      </c>
      <c r="F17">
        <v>1</v>
      </c>
      <c r="G17">
        <v>2</v>
      </c>
      <c r="H17">
        <v>2</v>
      </c>
      <c r="I17">
        <v>5</v>
      </c>
      <c r="J17" t="str">
        <f>_xlfn.TEXTJOIN("-",,H17,I17)</f>
        <v>2-5</v>
      </c>
      <c r="K17" t="s">
        <v>20</v>
      </c>
      <c r="L17" t="s">
        <v>16</v>
      </c>
      <c r="M17" s="3">
        <v>25.0000011874363</v>
      </c>
      <c r="N17" t="s">
        <v>17</v>
      </c>
    </row>
    <row r="18" spans="1:14" hidden="1" x14ac:dyDescent="0.2">
      <c r="A18" t="s">
        <v>18</v>
      </c>
      <c r="B18" t="s">
        <v>19</v>
      </c>
      <c r="C18" s="2">
        <v>34330</v>
      </c>
      <c r="D18">
        <v>692735</v>
      </c>
      <c r="E18">
        <v>6209960</v>
      </c>
      <c r="F18">
        <v>1</v>
      </c>
      <c r="G18">
        <v>5</v>
      </c>
      <c r="H18">
        <v>20</v>
      </c>
      <c r="I18">
        <v>30</v>
      </c>
      <c r="J18" t="str">
        <f>_xlfn.TEXTJOIN("-",,H18,I18)</f>
        <v>20-30</v>
      </c>
      <c r="K18" t="s">
        <v>29</v>
      </c>
      <c r="L18" t="s">
        <v>16</v>
      </c>
      <c r="M18" s="3">
        <v>3.7000001757405698E-2</v>
      </c>
      <c r="N18" t="s">
        <v>17</v>
      </c>
    </row>
    <row r="19" spans="1:14" hidden="1" x14ac:dyDescent="0.2">
      <c r="A19" t="s">
        <v>21</v>
      </c>
      <c r="B19" t="s">
        <v>14</v>
      </c>
      <c r="C19" s="2">
        <v>35745</v>
      </c>
      <c r="D19">
        <v>694929</v>
      </c>
      <c r="E19">
        <v>6209746</v>
      </c>
      <c r="F19">
        <v>1</v>
      </c>
      <c r="G19">
        <v>1</v>
      </c>
      <c r="H19">
        <v>0</v>
      </c>
      <c r="I19">
        <v>2</v>
      </c>
      <c r="J19" t="str">
        <f>_xlfn.TEXTJOIN("-",,H19,I19)</f>
        <v>0-2</v>
      </c>
      <c r="K19" t="s">
        <v>24</v>
      </c>
      <c r="L19" t="s">
        <v>16</v>
      </c>
      <c r="M19" s="3">
        <v>24.920001183636501</v>
      </c>
      <c r="N19" t="s">
        <v>17</v>
      </c>
    </row>
    <row r="20" spans="1:14" hidden="1" x14ac:dyDescent="0.2">
      <c r="A20" t="s">
        <v>21</v>
      </c>
      <c r="B20" t="s">
        <v>14</v>
      </c>
      <c r="C20" s="2">
        <v>34330</v>
      </c>
      <c r="D20">
        <v>694929</v>
      </c>
      <c r="E20">
        <v>6209746</v>
      </c>
      <c r="F20">
        <v>1</v>
      </c>
      <c r="G20">
        <v>3</v>
      </c>
      <c r="H20">
        <v>5</v>
      </c>
      <c r="I20">
        <v>8</v>
      </c>
      <c r="J20" t="str">
        <f>_xlfn.TEXTJOIN("-",,H20,I20)</f>
        <v>5-8</v>
      </c>
      <c r="K20" t="s">
        <v>31</v>
      </c>
      <c r="L20" t="s">
        <v>16</v>
      </c>
      <c r="M20" s="3">
        <v>0.25000001187436299</v>
      </c>
      <c r="N20" t="s">
        <v>17</v>
      </c>
    </row>
    <row r="21" spans="1:14" hidden="1" x14ac:dyDescent="0.2">
      <c r="A21" t="s">
        <v>18</v>
      </c>
      <c r="B21" t="s">
        <v>19</v>
      </c>
      <c r="C21" s="2">
        <v>34330</v>
      </c>
      <c r="D21">
        <v>692735</v>
      </c>
      <c r="E21">
        <v>6209960</v>
      </c>
      <c r="F21">
        <v>1</v>
      </c>
      <c r="G21">
        <v>1</v>
      </c>
      <c r="H21">
        <v>0</v>
      </c>
      <c r="I21">
        <v>2</v>
      </c>
      <c r="J21" t="str">
        <f>_xlfn.TEXTJOIN("-",,H21,I21)</f>
        <v>0-2</v>
      </c>
      <c r="K21" t="s">
        <v>15</v>
      </c>
      <c r="L21" t="s">
        <v>16</v>
      </c>
      <c r="M21" s="3">
        <v>11.000000522472</v>
      </c>
      <c r="N21" t="s">
        <v>17</v>
      </c>
    </row>
    <row r="22" spans="1:14" hidden="1" x14ac:dyDescent="0.2">
      <c r="A22" t="s">
        <v>18</v>
      </c>
      <c r="B22" t="s">
        <v>19</v>
      </c>
      <c r="C22" s="2">
        <v>34330</v>
      </c>
      <c r="D22">
        <v>692735</v>
      </c>
      <c r="E22">
        <v>6209960</v>
      </c>
      <c r="F22">
        <v>2</v>
      </c>
      <c r="G22">
        <v>5</v>
      </c>
      <c r="H22">
        <v>20</v>
      </c>
      <c r="I22">
        <v>30</v>
      </c>
      <c r="J22" t="str">
        <f>_xlfn.TEXTJOIN("-",,H22,I22)</f>
        <v>20-30</v>
      </c>
      <c r="K22" t="s">
        <v>28</v>
      </c>
      <c r="L22" t="s">
        <v>16</v>
      </c>
      <c r="M22" s="3">
        <v>1.0000000474974499E-2</v>
      </c>
      <c r="N22" t="s">
        <v>17</v>
      </c>
    </row>
    <row r="23" spans="1:14" hidden="1" x14ac:dyDescent="0.2">
      <c r="A23" t="s">
        <v>18</v>
      </c>
      <c r="B23" t="s">
        <v>19</v>
      </c>
      <c r="C23" s="2">
        <v>34330</v>
      </c>
      <c r="D23">
        <v>692735</v>
      </c>
      <c r="E23">
        <v>6209960</v>
      </c>
      <c r="F23">
        <v>1</v>
      </c>
      <c r="G23">
        <v>5</v>
      </c>
      <c r="H23">
        <v>20</v>
      </c>
      <c r="I23">
        <v>30</v>
      </c>
      <c r="J23" t="str">
        <f>_xlfn.TEXTJOIN("-",,H23,I23)</f>
        <v>20-30</v>
      </c>
      <c r="K23" t="s">
        <v>25</v>
      </c>
      <c r="L23" t="s">
        <v>16</v>
      </c>
      <c r="M23" s="3">
        <v>21.500000320375001</v>
      </c>
      <c r="N23" t="s">
        <v>26</v>
      </c>
    </row>
    <row r="24" spans="1:14" hidden="1" x14ac:dyDescent="0.2">
      <c r="A24" t="s">
        <v>13</v>
      </c>
      <c r="B24" t="s">
        <v>14</v>
      </c>
      <c r="C24" s="2">
        <v>35745</v>
      </c>
      <c r="D24">
        <v>695956</v>
      </c>
      <c r="E24">
        <v>6208568</v>
      </c>
      <c r="F24">
        <v>1</v>
      </c>
      <c r="G24">
        <v>1</v>
      </c>
      <c r="H24">
        <v>0</v>
      </c>
      <c r="I24">
        <v>2</v>
      </c>
      <c r="J24" t="str">
        <f>_xlfn.TEXTJOIN("-",,H24,I24)</f>
        <v>0-2</v>
      </c>
      <c r="K24" t="s">
        <v>24</v>
      </c>
      <c r="L24" t="s">
        <v>16</v>
      </c>
      <c r="M24" s="3">
        <v>24.680001172237102</v>
      </c>
      <c r="N24" t="s">
        <v>17</v>
      </c>
    </row>
    <row r="25" spans="1:14" hidden="1" x14ac:dyDescent="0.2">
      <c r="A25" t="s">
        <v>18</v>
      </c>
      <c r="B25" t="s">
        <v>19</v>
      </c>
      <c r="C25" s="2">
        <v>34330</v>
      </c>
      <c r="D25">
        <v>692735</v>
      </c>
      <c r="E25">
        <v>6209960</v>
      </c>
      <c r="F25">
        <v>1</v>
      </c>
      <c r="G25">
        <v>3</v>
      </c>
      <c r="H25">
        <v>5</v>
      </c>
      <c r="I25">
        <v>10</v>
      </c>
      <c r="J25" t="str">
        <f>_xlfn.TEXTJOIN("-",,H25,I25)</f>
        <v>5-10</v>
      </c>
      <c r="K25" t="s">
        <v>22</v>
      </c>
      <c r="L25" t="s">
        <v>16</v>
      </c>
      <c r="M25" s="3">
        <v>13.600000202655799</v>
      </c>
      <c r="N25" t="s">
        <v>23</v>
      </c>
    </row>
    <row r="26" spans="1:14" hidden="1" x14ac:dyDescent="0.2">
      <c r="A26" t="s">
        <v>18</v>
      </c>
      <c r="B26" t="s">
        <v>19</v>
      </c>
      <c r="C26" s="2">
        <v>34330</v>
      </c>
      <c r="D26">
        <v>692735</v>
      </c>
      <c r="E26">
        <v>6209960</v>
      </c>
      <c r="F26">
        <v>2</v>
      </c>
      <c r="G26">
        <v>6</v>
      </c>
      <c r="H26">
        <v>30</v>
      </c>
      <c r="I26">
        <v>38</v>
      </c>
      <c r="J26" t="str">
        <f>_xlfn.TEXTJOIN("-",,H26,I26)</f>
        <v>30-38</v>
      </c>
      <c r="K26" t="s">
        <v>15</v>
      </c>
      <c r="L26" t="s">
        <v>16</v>
      </c>
      <c r="M26" s="3">
        <v>14.000000664964301</v>
      </c>
      <c r="N26" t="s">
        <v>17</v>
      </c>
    </row>
    <row r="27" spans="1:14" hidden="1" x14ac:dyDescent="0.2">
      <c r="A27" t="s">
        <v>18</v>
      </c>
      <c r="B27" t="s">
        <v>19</v>
      </c>
      <c r="C27" s="2">
        <v>34330</v>
      </c>
      <c r="D27">
        <v>692735</v>
      </c>
      <c r="E27">
        <v>6209960</v>
      </c>
      <c r="F27">
        <v>1</v>
      </c>
      <c r="G27">
        <v>1</v>
      </c>
      <c r="H27">
        <v>0</v>
      </c>
      <c r="I27">
        <v>2</v>
      </c>
      <c r="J27" t="str">
        <f>_xlfn.TEXTJOIN("-",,H27,I27)</f>
        <v>0-2</v>
      </c>
      <c r="K27" t="s">
        <v>25</v>
      </c>
      <c r="L27" t="s">
        <v>16</v>
      </c>
      <c r="M27" s="3">
        <v>32.300000481307499</v>
      </c>
      <c r="N27" t="s">
        <v>26</v>
      </c>
    </row>
    <row r="28" spans="1:14" hidden="1" x14ac:dyDescent="0.2">
      <c r="A28" t="s">
        <v>18</v>
      </c>
      <c r="B28" t="s">
        <v>19</v>
      </c>
      <c r="C28" s="2">
        <v>34330</v>
      </c>
      <c r="D28">
        <v>692735</v>
      </c>
      <c r="E28">
        <v>6209960</v>
      </c>
      <c r="F28">
        <v>1</v>
      </c>
      <c r="G28">
        <v>1</v>
      </c>
      <c r="H28">
        <v>0</v>
      </c>
      <c r="I28">
        <v>2</v>
      </c>
      <c r="J28" t="str">
        <f>_xlfn.TEXTJOIN("-",,H28,I28)</f>
        <v>0-2</v>
      </c>
      <c r="K28" t="s">
        <v>31</v>
      </c>
      <c r="L28" t="s">
        <v>16</v>
      </c>
      <c r="M28" s="3">
        <v>0.59500002826098397</v>
      </c>
      <c r="N28" t="s">
        <v>17</v>
      </c>
    </row>
    <row r="29" spans="1:14" hidden="1" x14ac:dyDescent="0.2">
      <c r="A29" t="s">
        <v>18</v>
      </c>
      <c r="B29" t="s">
        <v>19</v>
      </c>
      <c r="C29" s="2">
        <v>34330</v>
      </c>
      <c r="D29">
        <v>692735</v>
      </c>
      <c r="E29">
        <v>6209960</v>
      </c>
      <c r="F29">
        <v>2</v>
      </c>
      <c r="G29">
        <v>4</v>
      </c>
      <c r="H29">
        <v>10</v>
      </c>
      <c r="I29">
        <v>20</v>
      </c>
      <c r="J29" t="str">
        <f>_xlfn.TEXTJOIN("-",,H29,I29)</f>
        <v>10-20</v>
      </c>
      <c r="K29" t="s">
        <v>15</v>
      </c>
      <c r="L29" t="s">
        <v>16</v>
      </c>
      <c r="M29" s="3">
        <v>14.000000664964301</v>
      </c>
      <c r="N29" t="s">
        <v>17</v>
      </c>
    </row>
    <row r="30" spans="1:14" hidden="1" x14ac:dyDescent="0.2">
      <c r="A30" t="s">
        <v>18</v>
      </c>
      <c r="B30" t="s">
        <v>19</v>
      </c>
      <c r="C30" s="2">
        <v>35745</v>
      </c>
      <c r="D30">
        <v>692735</v>
      </c>
      <c r="E30">
        <v>6209960</v>
      </c>
      <c r="F30">
        <v>1</v>
      </c>
      <c r="G30">
        <v>1</v>
      </c>
      <c r="H30">
        <v>0</v>
      </c>
      <c r="I30">
        <v>2</v>
      </c>
      <c r="J30" t="str">
        <f>_xlfn.TEXTJOIN("-",,H30,I30)</f>
        <v>0-2</v>
      </c>
      <c r="K30" t="s">
        <v>24</v>
      </c>
      <c r="L30" t="s">
        <v>16</v>
      </c>
      <c r="M30" s="3">
        <v>25.0000011874363</v>
      </c>
      <c r="N30" t="s">
        <v>17</v>
      </c>
    </row>
    <row r="31" spans="1:14" hidden="1" x14ac:dyDescent="0.2">
      <c r="A31" t="s">
        <v>18</v>
      </c>
      <c r="B31" t="s">
        <v>19</v>
      </c>
      <c r="C31" s="2">
        <v>34330</v>
      </c>
      <c r="D31">
        <v>692735</v>
      </c>
      <c r="E31">
        <v>6209960</v>
      </c>
      <c r="F31">
        <v>2</v>
      </c>
      <c r="G31">
        <v>5</v>
      </c>
      <c r="H31">
        <v>20</v>
      </c>
      <c r="I31">
        <v>30</v>
      </c>
      <c r="J31" t="str">
        <f>_xlfn.TEXTJOIN("-",,H31,I31)</f>
        <v>20-30</v>
      </c>
      <c r="K31" t="s">
        <v>32</v>
      </c>
      <c r="L31" t="s">
        <v>16</v>
      </c>
      <c r="M31" s="3">
        <v>0.36200001719407698</v>
      </c>
      <c r="N31" t="s">
        <v>17</v>
      </c>
    </row>
    <row r="32" spans="1:14" hidden="1" x14ac:dyDescent="0.2">
      <c r="A32" t="s">
        <v>18</v>
      </c>
      <c r="B32" t="s">
        <v>19</v>
      </c>
      <c r="C32" s="2">
        <v>34330</v>
      </c>
      <c r="D32">
        <v>692735</v>
      </c>
      <c r="E32">
        <v>6209960</v>
      </c>
      <c r="F32">
        <v>1</v>
      </c>
      <c r="G32">
        <v>4</v>
      </c>
      <c r="H32">
        <v>10</v>
      </c>
      <c r="I32">
        <v>20</v>
      </c>
      <c r="J32" t="str">
        <f>_xlfn.TEXTJOIN("-",,H32,I32)</f>
        <v>10-20</v>
      </c>
      <c r="K32" t="s">
        <v>32</v>
      </c>
      <c r="L32" t="s">
        <v>16</v>
      </c>
      <c r="M32" s="3">
        <v>8.8000004179775701E-2</v>
      </c>
      <c r="N32" t="s">
        <v>17</v>
      </c>
    </row>
    <row r="33" spans="1:14" hidden="1" x14ac:dyDescent="0.2">
      <c r="A33" t="s">
        <v>18</v>
      </c>
      <c r="B33" t="s">
        <v>19</v>
      </c>
      <c r="C33" s="2">
        <v>34330</v>
      </c>
      <c r="D33">
        <v>692735</v>
      </c>
      <c r="E33">
        <v>6209960</v>
      </c>
      <c r="F33">
        <v>2</v>
      </c>
      <c r="G33">
        <v>4</v>
      </c>
      <c r="H33">
        <v>10</v>
      </c>
      <c r="I33">
        <v>20</v>
      </c>
      <c r="J33" t="str">
        <f>_xlfn.TEXTJOIN("-",,H33,I33)</f>
        <v>10-20</v>
      </c>
      <c r="K33" t="s">
        <v>24</v>
      </c>
      <c r="L33" t="s">
        <v>16</v>
      </c>
      <c r="M33" s="3">
        <v>11.800000560469901</v>
      </c>
      <c r="N33" t="s">
        <v>17</v>
      </c>
    </row>
    <row r="34" spans="1:14" hidden="1" x14ac:dyDescent="0.2">
      <c r="A34" t="s">
        <v>18</v>
      </c>
      <c r="B34" t="s">
        <v>19</v>
      </c>
      <c r="C34" s="2">
        <v>34330</v>
      </c>
      <c r="D34">
        <v>692735</v>
      </c>
      <c r="E34">
        <v>6209960</v>
      </c>
      <c r="F34">
        <v>1</v>
      </c>
      <c r="G34">
        <v>6</v>
      </c>
      <c r="H34">
        <v>30</v>
      </c>
      <c r="I34">
        <v>38</v>
      </c>
      <c r="J34" t="str">
        <f>_xlfn.TEXTJOIN("-",,H34,I34)</f>
        <v>30-38</v>
      </c>
      <c r="K34" t="s">
        <v>20</v>
      </c>
      <c r="L34" t="s">
        <v>16</v>
      </c>
      <c r="M34" s="3">
        <v>61.000002897344501</v>
      </c>
      <c r="N34" t="s">
        <v>17</v>
      </c>
    </row>
    <row r="35" spans="1:14" hidden="1" x14ac:dyDescent="0.2">
      <c r="A35" t="s">
        <v>18</v>
      </c>
      <c r="B35" t="s">
        <v>19</v>
      </c>
      <c r="C35" s="2">
        <v>34330</v>
      </c>
      <c r="D35">
        <v>692735</v>
      </c>
      <c r="E35">
        <v>6209960</v>
      </c>
      <c r="F35">
        <v>1</v>
      </c>
      <c r="G35">
        <v>2</v>
      </c>
      <c r="H35">
        <v>2</v>
      </c>
      <c r="I35">
        <v>5</v>
      </c>
      <c r="J35" t="str">
        <f>_xlfn.TEXTJOIN("-",,H35,I35)</f>
        <v>2-5</v>
      </c>
      <c r="K35" t="s">
        <v>22</v>
      </c>
      <c r="L35" t="s">
        <v>16</v>
      </c>
      <c r="M35" s="3">
        <v>10.9000001624227</v>
      </c>
      <c r="N35" t="s">
        <v>23</v>
      </c>
    </row>
    <row r="36" spans="1:14" hidden="1" x14ac:dyDescent="0.2">
      <c r="A36" t="s">
        <v>18</v>
      </c>
      <c r="B36" t="s">
        <v>19</v>
      </c>
      <c r="C36" s="2">
        <v>34330</v>
      </c>
      <c r="D36">
        <v>692735</v>
      </c>
      <c r="E36">
        <v>6209960</v>
      </c>
      <c r="F36">
        <v>2</v>
      </c>
      <c r="G36">
        <v>3</v>
      </c>
      <c r="H36">
        <v>5</v>
      </c>
      <c r="I36">
        <v>10</v>
      </c>
      <c r="J36" t="str">
        <f>_xlfn.TEXTJOIN("-",,H36,I36)</f>
        <v>5-10</v>
      </c>
      <c r="K36" t="s">
        <v>30</v>
      </c>
      <c r="L36" t="s">
        <v>16</v>
      </c>
      <c r="M36" s="3">
        <v>1.9000000902451599E-2</v>
      </c>
      <c r="N36" t="s">
        <v>17</v>
      </c>
    </row>
    <row r="37" spans="1:14" hidden="1" x14ac:dyDescent="0.2">
      <c r="A37" t="s">
        <v>18</v>
      </c>
      <c r="B37" t="s">
        <v>19</v>
      </c>
      <c r="C37" s="2">
        <v>34330</v>
      </c>
      <c r="D37">
        <v>692735</v>
      </c>
      <c r="E37">
        <v>6209960</v>
      </c>
      <c r="F37">
        <v>2</v>
      </c>
      <c r="G37">
        <v>2</v>
      </c>
      <c r="H37">
        <v>2</v>
      </c>
      <c r="I37">
        <v>5</v>
      </c>
      <c r="J37" t="str">
        <f>_xlfn.TEXTJOIN("-",,H37,I37)</f>
        <v>2-5</v>
      </c>
      <c r="K37" t="s">
        <v>22</v>
      </c>
      <c r="L37" t="s">
        <v>16</v>
      </c>
      <c r="M37" s="3">
        <v>23.100000344216799</v>
      </c>
      <c r="N37" t="s">
        <v>23</v>
      </c>
    </row>
    <row r="38" spans="1:14" hidden="1" x14ac:dyDescent="0.2">
      <c r="A38" t="s">
        <v>18</v>
      </c>
      <c r="B38" t="s">
        <v>19</v>
      </c>
      <c r="C38" s="2">
        <v>34330</v>
      </c>
      <c r="D38">
        <v>692735</v>
      </c>
      <c r="E38">
        <v>6209960</v>
      </c>
      <c r="F38">
        <v>2</v>
      </c>
      <c r="G38">
        <v>6</v>
      </c>
      <c r="H38">
        <v>30</v>
      </c>
      <c r="I38">
        <v>38</v>
      </c>
      <c r="J38" t="str">
        <f>_xlfn.TEXTJOIN("-",,H38,I38)</f>
        <v>30-38</v>
      </c>
      <c r="K38" t="s">
        <v>24</v>
      </c>
      <c r="L38" t="s">
        <v>16</v>
      </c>
      <c r="M38" s="3">
        <v>13.1000006222166</v>
      </c>
      <c r="N38" t="s">
        <v>17</v>
      </c>
    </row>
    <row r="39" spans="1:14" hidden="1" x14ac:dyDescent="0.2">
      <c r="A39" t="s">
        <v>18</v>
      </c>
      <c r="B39" t="s">
        <v>19</v>
      </c>
      <c r="C39" s="2">
        <v>34330</v>
      </c>
      <c r="D39">
        <v>692735</v>
      </c>
      <c r="E39">
        <v>6209960</v>
      </c>
      <c r="F39">
        <v>2</v>
      </c>
      <c r="G39">
        <v>6</v>
      </c>
      <c r="H39">
        <v>30</v>
      </c>
      <c r="I39">
        <v>38</v>
      </c>
      <c r="J39" t="str">
        <f>_xlfn.TEXTJOIN("-",,H39,I39)</f>
        <v>30-38</v>
      </c>
      <c r="K39" t="s">
        <v>32</v>
      </c>
      <c r="L39" t="s">
        <v>16</v>
      </c>
      <c r="M39" s="3">
        <v>9.0000004274770604E-2</v>
      </c>
      <c r="N39" t="s">
        <v>17</v>
      </c>
    </row>
    <row r="40" spans="1:14" hidden="1" x14ac:dyDescent="0.2">
      <c r="A40" t="s">
        <v>18</v>
      </c>
      <c r="B40" t="s">
        <v>19</v>
      </c>
      <c r="C40" s="2">
        <v>34330</v>
      </c>
      <c r="D40">
        <v>692735</v>
      </c>
      <c r="E40">
        <v>6209960</v>
      </c>
      <c r="F40">
        <v>2</v>
      </c>
      <c r="G40">
        <v>2</v>
      </c>
      <c r="H40">
        <v>2</v>
      </c>
      <c r="I40">
        <v>5</v>
      </c>
      <c r="J40" t="str">
        <f>_xlfn.TEXTJOIN("-",,H40,I40)</f>
        <v>2-5</v>
      </c>
      <c r="K40" t="s">
        <v>25</v>
      </c>
      <c r="L40" t="s">
        <v>16</v>
      </c>
      <c r="M40" s="3">
        <v>8.5200001269578909</v>
      </c>
      <c r="N40" t="s">
        <v>26</v>
      </c>
    </row>
    <row r="41" spans="1:14" hidden="1" x14ac:dyDescent="0.2">
      <c r="A41" t="s">
        <v>18</v>
      </c>
      <c r="B41" t="s">
        <v>19</v>
      </c>
      <c r="C41" s="2">
        <v>34330</v>
      </c>
      <c r="D41">
        <v>692735</v>
      </c>
      <c r="E41">
        <v>6209960</v>
      </c>
      <c r="F41">
        <v>1</v>
      </c>
      <c r="G41">
        <v>1</v>
      </c>
      <c r="H41">
        <v>0</v>
      </c>
      <c r="I41">
        <v>2</v>
      </c>
      <c r="J41" t="str">
        <f>_xlfn.TEXTJOIN("-",,H41,I41)</f>
        <v>0-2</v>
      </c>
      <c r="K41" t="s">
        <v>29</v>
      </c>
      <c r="L41" t="s">
        <v>16</v>
      </c>
      <c r="M41" s="3">
        <v>0.126000005984679</v>
      </c>
      <c r="N41" t="s">
        <v>17</v>
      </c>
    </row>
    <row r="42" spans="1:14" hidden="1" x14ac:dyDescent="0.2">
      <c r="A42" t="s">
        <v>18</v>
      </c>
      <c r="B42" t="s">
        <v>19</v>
      </c>
      <c r="C42" s="2">
        <v>34330</v>
      </c>
      <c r="D42">
        <v>692735</v>
      </c>
      <c r="E42">
        <v>6209960</v>
      </c>
      <c r="F42">
        <v>1</v>
      </c>
      <c r="G42">
        <v>3</v>
      </c>
      <c r="H42">
        <v>5</v>
      </c>
      <c r="I42">
        <v>10</v>
      </c>
      <c r="J42" t="str">
        <f>_xlfn.TEXTJOIN("-",,H42,I42)</f>
        <v>5-10</v>
      </c>
      <c r="K42" t="s">
        <v>20</v>
      </c>
      <c r="L42" t="s">
        <v>16</v>
      </c>
      <c r="M42" s="3">
        <v>65.000003087334306</v>
      </c>
      <c r="N42" t="s">
        <v>17</v>
      </c>
    </row>
    <row r="43" spans="1:14" hidden="1" x14ac:dyDescent="0.2">
      <c r="A43" t="s">
        <v>18</v>
      </c>
      <c r="B43" t="s">
        <v>19</v>
      </c>
      <c r="C43" s="2">
        <v>34330</v>
      </c>
      <c r="D43">
        <v>692735</v>
      </c>
      <c r="E43">
        <v>6209960</v>
      </c>
      <c r="F43">
        <v>1</v>
      </c>
      <c r="G43">
        <v>4</v>
      </c>
      <c r="H43">
        <v>10</v>
      </c>
      <c r="I43">
        <v>20</v>
      </c>
      <c r="J43" t="str">
        <f>_xlfn.TEXTJOIN("-",,H43,I43)</f>
        <v>10-20</v>
      </c>
      <c r="K43" t="s">
        <v>29</v>
      </c>
      <c r="L43" t="s">
        <v>33</v>
      </c>
      <c r="M43" s="3">
        <v>5.00000023748726E-3</v>
      </c>
      <c r="N43" t="s">
        <v>17</v>
      </c>
    </row>
    <row r="44" spans="1:14" hidden="1" x14ac:dyDescent="0.2">
      <c r="A44" t="s">
        <v>18</v>
      </c>
      <c r="B44" t="s">
        <v>19</v>
      </c>
      <c r="C44" s="2">
        <v>34330</v>
      </c>
      <c r="D44">
        <v>692735</v>
      </c>
      <c r="E44">
        <v>6209960</v>
      </c>
      <c r="F44">
        <v>2</v>
      </c>
      <c r="G44">
        <v>3</v>
      </c>
      <c r="H44">
        <v>5</v>
      </c>
      <c r="I44">
        <v>10</v>
      </c>
      <c r="J44" t="str">
        <f>_xlfn.TEXTJOIN("-",,H44,I44)</f>
        <v>5-10</v>
      </c>
      <c r="K44" t="s">
        <v>22</v>
      </c>
      <c r="L44" t="s">
        <v>16</v>
      </c>
      <c r="M44" s="3">
        <v>12.3000001832843</v>
      </c>
      <c r="N44" t="s">
        <v>23</v>
      </c>
    </row>
    <row r="45" spans="1:14" hidden="1" x14ac:dyDescent="0.2">
      <c r="A45" t="s">
        <v>18</v>
      </c>
      <c r="B45" t="s">
        <v>19</v>
      </c>
      <c r="C45" s="2">
        <v>34330</v>
      </c>
      <c r="D45">
        <v>692735</v>
      </c>
      <c r="E45">
        <v>6209960</v>
      </c>
      <c r="F45">
        <v>2</v>
      </c>
      <c r="G45">
        <v>3</v>
      </c>
      <c r="H45">
        <v>5</v>
      </c>
      <c r="I45">
        <v>10</v>
      </c>
      <c r="J45" t="str">
        <f>_xlfn.TEXTJOIN("-",,H45,I45)</f>
        <v>5-10</v>
      </c>
      <c r="K45" t="s">
        <v>29</v>
      </c>
      <c r="L45" t="s">
        <v>16</v>
      </c>
      <c r="M45" s="3">
        <v>8.0000003799796104E-3</v>
      </c>
      <c r="N45" t="s">
        <v>17</v>
      </c>
    </row>
    <row r="46" spans="1:14" hidden="1" x14ac:dyDescent="0.2">
      <c r="A46" t="s">
        <v>18</v>
      </c>
      <c r="B46" t="s">
        <v>19</v>
      </c>
      <c r="C46" s="2">
        <v>34330</v>
      </c>
      <c r="D46">
        <v>692735</v>
      </c>
      <c r="E46">
        <v>6209960</v>
      </c>
      <c r="F46">
        <v>1</v>
      </c>
      <c r="G46">
        <v>4</v>
      </c>
      <c r="H46">
        <v>10</v>
      </c>
      <c r="I46">
        <v>20</v>
      </c>
      <c r="J46" t="str">
        <f>_xlfn.TEXTJOIN("-",,H46,I46)</f>
        <v>10-20</v>
      </c>
      <c r="K46" t="s">
        <v>15</v>
      </c>
      <c r="L46" t="s">
        <v>16</v>
      </c>
      <c r="M46" s="3">
        <v>14.000000664964301</v>
      </c>
      <c r="N46" t="s">
        <v>17</v>
      </c>
    </row>
    <row r="47" spans="1:14" hidden="1" x14ac:dyDescent="0.2">
      <c r="A47" t="s">
        <v>18</v>
      </c>
      <c r="B47" t="s">
        <v>19</v>
      </c>
      <c r="C47" s="2">
        <v>34330</v>
      </c>
      <c r="D47">
        <v>692735</v>
      </c>
      <c r="E47">
        <v>6209960</v>
      </c>
      <c r="F47">
        <v>2</v>
      </c>
      <c r="G47">
        <v>3</v>
      </c>
      <c r="H47">
        <v>5</v>
      </c>
      <c r="I47">
        <v>10</v>
      </c>
      <c r="J47" t="str">
        <f>_xlfn.TEXTJOIN("-",,H47,I47)</f>
        <v>5-10</v>
      </c>
      <c r="K47" t="s">
        <v>15</v>
      </c>
      <c r="L47" t="s">
        <v>16</v>
      </c>
      <c r="M47" s="3">
        <v>17.000000807456701</v>
      </c>
      <c r="N47" t="s">
        <v>17</v>
      </c>
    </row>
    <row r="48" spans="1:14" hidden="1" x14ac:dyDescent="0.2">
      <c r="A48" t="s">
        <v>13</v>
      </c>
      <c r="B48" t="s">
        <v>14</v>
      </c>
      <c r="C48" s="2">
        <v>37565</v>
      </c>
      <c r="D48">
        <v>695956</v>
      </c>
      <c r="E48">
        <v>6208568</v>
      </c>
      <c r="F48">
        <v>1</v>
      </c>
      <c r="G48">
        <v>1</v>
      </c>
      <c r="H48">
        <v>0</v>
      </c>
      <c r="I48">
        <v>2</v>
      </c>
      <c r="J48" t="str">
        <f>_xlfn.TEXTJOIN("-",,H48,I48)</f>
        <v>0-2</v>
      </c>
      <c r="K48" t="s">
        <v>24</v>
      </c>
      <c r="L48" t="s">
        <v>16</v>
      </c>
      <c r="M48" s="3">
        <v>15.70000074571</v>
      </c>
      <c r="N48" t="s">
        <v>17</v>
      </c>
    </row>
    <row r="49" spans="1:14" hidden="1" x14ac:dyDescent="0.2">
      <c r="A49" t="s">
        <v>18</v>
      </c>
      <c r="B49" t="s">
        <v>19</v>
      </c>
      <c r="C49" s="2">
        <v>34330</v>
      </c>
      <c r="D49">
        <v>692735</v>
      </c>
      <c r="E49">
        <v>6209960</v>
      </c>
      <c r="F49">
        <v>1</v>
      </c>
      <c r="G49">
        <v>3</v>
      </c>
      <c r="H49">
        <v>5</v>
      </c>
      <c r="I49">
        <v>10</v>
      </c>
      <c r="J49" t="str">
        <f>_xlfn.TEXTJOIN("-",,H49,I49)</f>
        <v>5-10</v>
      </c>
      <c r="K49" t="s">
        <v>15</v>
      </c>
      <c r="L49" t="s">
        <v>16</v>
      </c>
      <c r="M49" s="3">
        <v>18.000000854954099</v>
      </c>
      <c r="N49" t="s">
        <v>17</v>
      </c>
    </row>
    <row r="50" spans="1:14" hidden="1" x14ac:dyDescent="0.2">
      <c r="A50" t="s">
        <v>18</v>
      </c>
      <c r="B50" t="s">
        <v>19</v>
      </c>
      <c r="C50" s="2">
        <v>34330</v>
      </c>
      <c r="D50">
        <v>692735</v>
      </c>
      <c r="E50">
        <v>6209960</v>
      </c>
      <c r="F50">
        <v>1</v>
      </c>
      <c r="G50">
        <v>6</v>
      </c>
      <c r="H50">
        <v>30</v>
      </c>
      <c r="I50">
        <v>38</v>
      </c>
      <c r="J50" t="str">
        <f>_xlfn.TEXTJOIN("-",,H50,I50)</f>
        <v>30-38</v>
      </c>
      <c r="K50" t="s">
        <v>22</v>
      </c>
      <c r="L50" t="s">
        <v>16</v>
      </c>
      <c r="M50" s="3">
        <v>13.500000201165699</v>
      </c>
      <c r="N50" t="s">
        <v>23</v>
      </c>
    </row>
    <row r="51" spans="1:14" hidden="1" x14ac:dyDescent="0.2">
      <c r="A51" t="s">
        <v>18</v>
      </c>
      <c r="B51" t="s">
        <v>19</v>
      </c>
      <c r="C51" s="2">
        <v>34330</v>
      </c>
      <c r="D51">
        <v>692735</v>
      </c>
      <c r="E51">
        <v>6209960</v>
      </c>
      <c r="F51">
        <v>2</v>
      </c>
      <c r="G51">
        <v>5</v>
      </c>
      <c r="H51">
        <v>20</v>
      </c>
      <c r="I51">
        <v>30</v>
      </c>
      <c r="J51" t="str">
        <f>_xlfn.TEXTJOIN("-",,H51,I51)</f>
        <v>20-30</v>
      </c>
      <c r="K51" t="s">
        <v>30</v>
      </c>
      <c r="L51" t="s">
        <v>16</v>
      </c>
      <c r="M51" s="3">
        <v>2.0000000949948998E-2</v>
      </c>
      <c r="N51" t="s">
        <v>17</v>
      </c>
    </row>
    <row r="52" spans="1:14" hidden="1" x14ac:dyDescent="0.2">
      <c r="A52" t="s">
        <v>18</v>
      </c>
      <c r="B52" t="s">
        <v>19</v>
      </c>
      <c r="C52" s="2">
        <v>34330</v>
      </c>
      <c r="D52">
        <v>692735</v>
      </c>
      <c r="E52">
        <v>6209960</v>
      </c>
      <c r="F52">
        <v>1</v>
      </c>
      <c r="G52">
        <v>4</v>
      </c>
      <c r="H52">
        <v>10</v>
      </c>
      <c r="I52">
        <v>20</v>
      </c>
      <c r="J52" t="str">
        <f>_xlfn.TEXTJOIN("-",,H52,I52)</f>
        <v>10-20</v>
      </c>
      <c r="K52" t="s">
        <v>24</v>
      </c>
      <c r="L52" t="s">
        <v>16</v>
      </c>
      <c r="M52" s="3">
        <v>13.000000617466901</v>
      </c>
      <c r="N52" t="s">
        <v>17</v>
      </c>
    </row>
    <row r="53" spans="1:14" hidden="1" x14ac:dyDescent="0.2">
      <c r="A53" t="s">
        <v>21</v>
      </c>
      <c r="B53" t="s">
        <v>14</v>
      </c>
      <c r="C53" s="2">
        <v>37565</v>
      </c>
      <c r="D53">
        <v>694929</v>
      </c>
      <c r="E53">
        <v>6209746</v>
      </c>
      <c r="F53">
        <v>1</v>
      </c>
      <c r="G53">
        <v>1</v>
      </c>
      <c r="H53">
        <v>0</v>
      </c>
      <c r="I53">
        <v>2</v>
      </c>
      <c r="J53" t="str">
        <f>_xlfn.TEXTJOIN("-",,H53,I53)</f>
        <v>0-2</v>
      </c>
      <c r="K53" t="s">
        <v>24</v>
      </c>
      <c r="L53" t="s">
        <v>16</v>
      </c>
      <c r="M53" s="3">
        <v>15.8000007504597</v>
      </c>
      <c r="N53" t="s">
        <v>17</v>
      </c>
    </row>
    <row r="54" spans="1:14" hidden="1" x14ac:dyDescent="0.2">
      <c r="A54" t="s">
        <v>21</v>
      </c>
      <c r="B54" t="s">
        <v>14</v>
      </c>
      <c r="C54" s="2">
        <v>34330</v>
      </c>
      <c r="D54">
        <v>694929</v>
      </c>
      <c r="E54">
        <v>6209746</v>
      </c>
      <c r="F54">
        <v>1</v>
      </c>
      <c r="G54">
        <v>3</v>
      </c>
      <c r="H54">
        <v>5</v>
      </c>
      <c r="I54">
        <v>8</v>
      </c>
      <c r="J54" t="str">
        <f>_xlfn.TEXTJOIN("-",,H54,I54)</f>
        <v>5-8</v>
      </c>
      <c r="K54" t="s">
        <v>28</v>
      </c>
      <c r="L54" t="s">
        <v>16</v>
      </c>
      <c r="M54" s="3">
        <v>0.33400001586414901</v>
      </c>
      <c r="N54" t="s">
        <v>17</v>
      </c>
    </row>
    <row r="55" spans="1:14" hidden="1" x14ac:dyDescent="0.2">
      <c r="A55" t="s">
        <v>18</v>
      </c>
      <c r="B55" t="s">
        <v>19</v>
      </c>
      <c r="C55" s="2">
        <v>34330</v>
      </c>
      <c r="D55">
        <v>692735</v>
      </c>
      <c r="E55">
        <v>6209960</v>
      </c>
      <c r="F55">
        <v>1</v>
      </c>
      <c r="G55">
        <v>3</v>
      </c>
      <c r="H55">
        <v>5</v>
      </c>
      <c r="I55">
        <v>10</v>
      </c>
      <c r="J55" t="str">
        <f>_xlfn.TEXTJOIN("-",,H55,I55)</f>
        <v>5-10</v>
      </c>
      <c r="K55" t="s">
        <v>28</v>
      </c>
      <c r="L55" t="s">
        <v>16</v>
      </c>
      <c r="M55" s="3">
        <v>0.23300001106690599</v>
      </c>
      <c r="N55" t="s">
        <v>17</v>
      </c>
    </row>
    <row r="56" spans="1:14" hidden="1" x14ac:dyDescent="0.2">
      <c r="A56" t="s">
        <v>21</v>
      </c>
      <c r="B56" t="s">
        <v>14</v>
      </c>
      <c r="C56" s="2">
        <v>34330</v>
      </c>
      <c r="D56">
        <v>694929</v>
      </c>
      <c r="E56">
        <v>6209746</v>
      </c>
      <c r="F56">
        <v>1</v>
      </c>
      <c r="G56">
        <v>1</v>
      </c>
      <c r="H56">
        <v>0</v>
      </c>
      <c r="I56">
        <v>2</v>
      </c>
      <c r="J56" t="str">
        <f>_xlfn.TEXTJOIN("-",,H56,I56)</f>
        <v>0-2</v>
      </c>
      <c r="K56" t="s">
        <v>22</v>
      </c>
      <c r="L56" t="s">
        <v>16</v>
      </c>
      <c r="M56" s="3">
        <v>15.500000230968</v>
      </c>
      <c r="N56" t="s">
        <v>23</v>
      </c>
    </row>
    <row r="57" spans="1:14" hidden="1" x14ac:dyDescent="0.2">
      <c r="A57" t="s">
        <v>18</v>
      </c>
      <c r="B57" t="s">
        <v>19</v>
      </c>
      <c r="C57" s="2">
        <v>34330</v>
      </c>
      <c r="D57">
        <v>692735</v>
      </c>
      <c r="E57">
        <v>6209960</v>
      </c>
      <c r="F57">
        <v>1</v>
      </c>
      <c r="G57">
        <v>4</v>
      </c>
      <c r="H57">
        <v>10</v>
      </c>
      <c r="I57">
        <v>20</v>
      </c>
      <c r="J57" t="str">
        <f>_xlfn.TEXTJOIN("-",,H57,I57)</f>
        <v>10-20</v>
      </c>
      <c r="K57" t="s">
        <v>31</v>
      </c>
      <c r="L57" t="s">
        <v>16</v>
      </c>
      <c r="M57" s="3">
        <v>0.27800001320429102</v>
      </c>
      <c r="N57" t="s">
        <v>17</v>
      </c>
    </row>
    <row r="58" spans="1:14" hidden="1" x14ac:dyDescent="0.2">
      <c r="A58" t="s">
        <v>18</v>
      </c>
      <c r="B58" t="s">
        <v>19</v>
      </c>
      <c r="C58" s="2">
        <v>34330</v>
      </c>
      <c r="D58">
        <v>692735</v>
      </c>
      <c r="E58">
        <v>6209960</v>
      </c>
      <c r="F58">
        <v>1</v>
      </c>
      <c r="G58">
        <v>6</v>
      </c>
      <c r="H58">
        <v>30</v>
      </c>
      <c r="I58">
        <v>38</v>
      </c>
      <c r="J58" t="str">
        <f>_xlfn.TEXTJOIN("-",,H58,I58)</f>
        <v>30-38</v>
      </c>
      <c r="K58" t="s">
        <v>24</v>
      </c>
      <c r="L58" t="s">
        <v>16</v>
      </c>
      <c r="M58" s="3">
        <v>17.400000826455699</v>
      </c>
      <c r="N58" t="s">
        <v>17</v>
      </c>
    </row>
    <row r="59" spans="1:14" hidden="1" x14ac:dyDescent="0.2">
      <c r="A59" t="s">
        <v>18</v>
      </c>
      <c r="B59" t="s">
        <v>19</v>
      </c>
      <c r="C59" s="2">
        <v>34330</v>
      </c>
      <c r="D59">
        <v>692735</v>
      </c>
      <c r="E59">
        <v>6209960</v>
      </c>
      <c r="F59">
        <v>2</v>
      </c>
      <c r="G59">
        <v>1</v>
      </c>
      <c r="H59">
        <v>0</v>
      </c>
      <c r="I59">
        <v>2</v>
      </c>
      <c r="J59" t="str">
        <f>_xlfn.TEXTJOIN("-",,H59,I59)</f>
        <v>0-2</v>
      </c>
      <c r="K59" t="s">
        <v>31</v>
      </c>
      <c r="L59" t="s">
        <v>16</v>
      </c>
      <c r="M59" s="3">
        <v>0.17500000831205401</v>
      </c>
      <c r="N59" t="s">
        <v>17</v>
      </c>
    </row>
    <row r="60" spans="1:14" hidden="1" x14ac:dyDescent="0.2">
      <c r="A60" t="s">
        <v>18</v>
      </c>
      <c r="B60" t="s">
        <v>19</v>
      </c>
      <c r="C60" s="2">
        <v>34330</v>
      </c>
      <c r="D60">
        <v>692735</v>
      </c>
      <c r="E60">
        <v>6209960</v>
      </c>
      <c r="F60">
        <v>2</v>
      </c>
      <c r="G60">
        <v>4</v>
      </c>
      <c r="H60">
        <v>10</v>
      </c>
      <c r="I60">
        <v>20</v>
      </c>
      <c r="J60" t="str">
        <f>_xlfn.TEXTJOIN("-",,H60,I60)</f>
        <v>10-20</v>
      </c>
      <c r="K60" t="s">
        <v>25</v>
      </c>
      <c r="L60" t="s">
        <v>16</v>
      </c>
      <c r="M60" s="3">
        <v>20.300000302493601</v>
      </c>
      <c r="N60" t="s">
        <v>26</v>
      </c>
    </row>
    <row r="61" spans="1:14" hidden="1" x14ac:dyDescent="0.2">
      <c r="A61" t="s">
        <v>18</v>
      </c>
      <c r="B61" t="s">
        <v>19</v>
      </c>
      <c r="C61" s="2">
        <v>34330</v>
      </c>
      <c r="D61">
        <v>692735</v>
      </c>
      <c r="E61">
        <v>6209960</v>
      </c>
      <c r="F61">
        <v>1</v>
      </c>
      <c r="G61">
        <v>6</v>
      </c>
      <c r="H61">
        <v>30</v>
      </c>
      <c r="I61">
        <v>38</v>
      </c>
      <c r="J61" t="str">
        <f>_xlfn.TEXTJOIN("-",,H61,I61)</f>
        <v>30-38</v>
      </c>
      <c r="K61" t="s">
        <v>31</v>
      </c>
      <c r="L61" t="s">
        <v>16</v>
      </c>
      <c r="M61" s="3">
        <v>0.381000018096529</v>
      </c>
      <c r="N61" t="s">
        <v>17</v>
      </c>
    </row>
    <row r="62" spans="1:14" hidden="1" x14ac:dyDescent="0.2">
      <c r="A62" t="s">
        <v>21</v>
      </c>
      <c r="B62" t="s">
        <v>14</v>
      </c>
      <c r="C62" s="2">
        <v>34330</v>
      </c>
      <c r="D62">
        <v>694929</v>
      </c>
      <c r="E62">
        <v>6209746</v>
      </c>
      <c r="F62">
        <v>1</v>
      </c>
      <c r="G62">
        <v>3</v>
      </c>
      <c r="H62">
        <v>5</v>
      </c>
      <c r="I62">
        <v>8</v>
      </c>
      <c r="J62" t="str">
        <f>_xlfn.TEXTJOIN("-",,H62,I62)</f>
        <v>5-8</v>
      </c>
      <c r="K62" t="s">
        <v>29</v>
      </c>
      <c r="L62" t="s">
        <v>33</v>
      </c>
      <c r="M62" s="3">
        <v>5.00000023748726E-3</v>
      </c>
      <c r="N62" t="s">
        <v>17</v>
      </c>
    </row>
    <row r="63" spans="1:14" hidden="1" x14ac:dyDescent="0.2">
      <c r="A63" t="s">
        <v>18</v>
      </c>
      <c r="B63" t="s">
        <v>19</v>
      </c>
      <c r="C63" s="2">
        <v>34330</v>
      </c>
      <c r="D63">
        <v>692735</v>
      </c>
      <c r="E63">
        <v>6209960</v>
      </c>
      <c r="F63">
        <v>2</v>
      </c>
      <c r="G63">
        <v>4</v>
      </c>
      <c r="H63">
        <v>10</v>
      </c>
      <c r="I63">
        <v>20</v>
      </c>
      <c r="J63" t="str">
        <f>_xlfn.TEXTJOIN("-",,H63,I63)</f>
        <v>10-20</v>
      </c>
      <c r="K63" t="s">
        <v>30</v>
      </c>
      <c r="L63" t="s">
        <v>16</v>
      </c>
      <c r="M63" s="3">
        <v>6.0000002849847096E-3</v>
      </c>
      <c r="N63" t="s">
        <v>17</v>
      </c>
    </row>
    <row r="64" spans="1:14" hidden="1" x14ac:dyDescent="0.2">
      <c r="A64" t="s">
        <v>21</v>
      </c>
      <c r="B64" t="s">
        <v>14</v>
      </c>
      <c r="C64" s="2">
        <v>34330</v>
      </c>
      <c r="D64">
        <v>694929</v>
      </c>
      <c r="E64">
        <v>6209746</v>
      </c>
      <c r="F64">
        <v>1</v>
      </c>
      <c r="G64">
        <v>2</v>
      </c>
      <c r="H64">
        <v>2</v>
      </c>
      <c r="I64">
        <v>5</v>
      </c>
      <c r="J64" t="str">
        <f>_xlfn.TEXTJOIN("-",,H64,I64)</f>
        <v>2-5</v>
      </c>
      <c r="K64" t="s">
        <v>30</v>
      </c>
      <c r="L64" t="s">
        <v>33</v>
      </c>
      <c r="M64" s="3">
        <v>5.00000023748726E-3</v>
      </c>
      <c r="N64" t="s">
        <v>17</v>
      </c>
    </row>
    <row r="65" spans="1:14" hidden="1" x14ac:dyDescent="0.2">
      <c r="A65" t="s">
        <v>21</v>
      </c>
      <c r="B65" t="s">
        <v>14</v>
      </c>
      <c r="C65" s="2">
        <v>34330</v>
      </c>
      <c r="D65">
        <v>694929</v>
      </c>
      <c r="E65">
        <v>6209746</v>
      </c>
      <c r="F65">
        <v>1</v>
      </c>
      <c r="G65">
        <v>2</v>
      </c>
      <c r="H65">
        <v>2</v>
      </c>
      <c r="I65">
        <v>5</v>
      </c>
      <c r="J65" t="str">
        <f>_xlfn.TEXTJOIN("-",,H65,I65)</f>
        <v>2-5</v>
      </c>
      <c r="K65" t="s">
        <v>31</v>
      </c>
      <c r="L65" t="s">
        <v>16</v>
      </c>
      <c r="M65" s="3">
        <v>0.22000001044943901</v>
      </c>
      <c r="N65" t="s">
        <v>17</v>
      </c>
    </row>
    <row r="66" spans="1:14" hidden="1" x14ac:dyDescent="0.2">
      <c r="A66" t="s">
        <v>18</v>
      </c>
      <c r="B66" t="s">
        <v>19</v>
      </c>
      <c r="C66" s="2">
        <v>34330</v>
      </c>
      <c r="D66">
        <v>692735</v>
      </c>
      <c r="E66">
        <v>6209960</v>
      </c>
      <c r="F66">
        <v>1</v>
      </c>
      <c r="G66">
        <v>1</v>
      </c>
      <c r="H66">
        <v>0</v>
      </c>
      <c r="I66">
        <v>2</v>
      </c>
      <c r="J66" t="str">
        <f>_xlfn.TEXTJOIN("-",,H66,I66)</f>
        <v>0-2</v>
      </c>
      <c r="K66" t="s">
        <v>32</v>
      </c>
      <c r="L66" t="s">
        <v>16</v>
      </c>
      <c r="M66" s="3">
        <v>0.219000010401942</v>
      </c>
      <c r="N66" t="s">
        <v>17</v>
      </c>
    </row>
    <row r="67" spans="1:14" hidden="1" x14ac:dyDescent="0.2">
      <c r="A67" t="s">
        <v>18</v>
      </c>
      <c r="B67" t="s">
        <v>19</v>
      </c>
      <c r="C67" s="2">
        <v>34330</v>
      </c>
      <c r="D67">
        <v>692735</v>
      </c>
      <c r="E67">
        <v>6209960</v>
      </c>
      <c r="F67">
        <v>2</v>
      </c>
      <c r="G67">
        <v>6</v>
      </c>
      <c r="H67">
        <v>30</v>
      </c>
      <c r="I67">
        <v>38</v>
      </c>
      <c r="J67" t="str">
        <f>_xlfn.TEXTJOIN("-",,H67,I67)</f>
        <v>30-38</v>
      </c>
      <c r="K67" t="s">
        <v>20</v>
      </c>
      <c r="L67" t="s">
        <v>16</v>
      </c>
      <c r="M67" s="3">
        <v>54.000002564862399</v>
      </c>
      <c r="N67" t="s">
        <v>17</v>
      </c>
    </row>
    <row r="68" spans="1:14" hidden="1" x14ac:dyDescent="0.2">
      <c r="A68" t="s">
        <v>18</v>
      </c>
      <c r="B68" t="s">
        <v>19</v>
      </c>
      <c r="C68" s="2">
        <v>34330</v>
      </c>
      <c r="D68">
        <v>692735</v>
      </c>
      <c r="E68">
        <v>6209960</v>
      </c>
      <c r="F68">
        <v>2</v>
      </c>
      <c r="G68">
        <v>4</v>
      </c>
      <c r="H68">
        <v>10</v>
      </c>
      <c r="I68">
        <v>20</v>
      </c>
      <c r="J68" t="str">
        <f>_xlfn.TEXTJOIN("-",,H68,I68)</f>
        <v>10-20</v>
      </c>
      <c r="K68" t="s">
        <v>31</v>
      </c>
      <c r="L68" t="s">
        <v>16</v>
      </c>
      <c r="M68" s="3">
        <v>0.37800001795403698</v>
      </c>
      <c r="N68" t="s">
        <v>17</v>
      </c>
    </row>
    <row r="69" spans="1:14" hidden="1" x14ac:dyDescent="0.2">
      <c r="A69" t="s">
        <v>18</v>
      </c>
      <c r="B69" t="s">
        <v>19</v>
      </c>
      <c r="C69" s="2">
        <v>34330</v>
      </c>
      <c r="D69">
        <v>692735</v>
      </c>
      <c r="E69">
        <v>6209960</v>
      </c>
      <c r="F69">
        <v>2</v>
      </c>
      <c r="G69">
        <v>5</v>
      </c>
      <c r="H69">
        <v>20</v>
      </c>
      <c r="I69">
        <v>30</v>
      </c>
      <c r="J69" t="str">
        <f>_xlfn.TEXTJOIN("-",,H69,I69)</f>
        <v>20-30</v>
      </c>
      <c r="K69" t="s">
        <v>24</v>
      </c>
      <c r="L69" t="s">
        <v>16</v>
      </c>
      <c r="M69" s="3">
        <v>14.800000702962301</v>
      </c>
      <c r="N69" t="s">
        <v>17</v>
      </c>
    </row>
    <row r="70" spans="1:14" hidden="1" x14ac:dyDescent="0.2">
      <c r="A70" t="s">
        <v>21</v>
      </c>
      <c r="B70" t="s">
        <v>14</v>
      </c>
      <c r="C70" s="2">
        <v>34330</v>
      </c>
      <c r="D70">
        <v>694929</v>
      </c>
      <c r="E70">
        <v>6209746</v>
      </c>
      <c r="F70">
        <v>1</v>
      </c>
      <c r="G70">
        <v>1</v>
      </c>
      <c r="H70">
        <v>0</v>
      </c>
      <c r="I70">
        <v>2</v>
      </c>
      <c r="J70" t="str">
        <f>_xlfn.TEXTJOIN("-",,H70,I70)</f>
        <v>0-2</v>
      </c>
      <c r="K70" t="s">
        <v>28</v>
      </c>
      <c r="L70" t="s">
        <v>16</v>
      </c>
      <c r="M70" s="3">
        <v>1.0500000498723201</v>
      </c>
      <c r="N70" t="s">
        <v>17</v>
      </c>
    </row>
    <row r="71" spans="1:14" hidden="1" x14ac:dyDescent="0.2">
      <c r="A71" t="s">
        <v>18</v>
      </c>
      <c r="B71" t="s">
        <v>19</v>
      </c>
      <c r="C71" s="2">
        <v>34330</v>
      </c>
      <c r="D71">
        <v>692735</v>
      </c>
      <c r="E71">
        <v>6209960</v>
      </c>
      <c r="F71">
        <v>2</v>
      </c>
      <c r="G71">
        <v>6</v>
      </c>
      <c r="H71">
        <v>30</v>
      </c>
      <c r="I71">
        <v>38</v>
      </c>
      <c r="J71" t="str">
        <f>_xlfn.TEXTJOIN("-",,H71,I71)</f>
        <v>30-38</v>
      </c>
      <c r="K71" t="s">
        <v>22</v>
      </c>
      <c r="L71" t="s">
        <v>16</v>
      </c>
      <c r="M71" s="3">
        <v>16.700000248849399</v>
      </c>
      <c r="N71" t="s">
        <v>23</v>
      </c>
    </row>
    <row r="72" spans="1:14" hidden="1" x14ac:dyDescent="0.2">
      <c r="A72" t="s">
        <v>18</v>
      </c>
      <c r="B72" t="s">
        <v>19</v>
      </c>
      <c r="C72" s="2">
        <v>34330</v>
      </c>
      <c r="D72">
        <v>692735</v>
      </c>
      <c r="E72">
        <v>6209960</v>
      </c>
      <c r="F72">
        <v>1</v>
      </c>
      <c r="G72">
        <v>2</v>
      </c>
      <c r="H72">
        <v>2</v>
      </c>
      <c r="I72">
        <v>5</v>
      </c>
      <c r="J72" t="str">
        <f>_xlfn.TEXTJOIN("-",,H72,I72)</f>
        <v>2-5</v>
      </c>
      <c r="K72" t="s">
        <v>20</v>
      </c>
      <c r="L72" t="s">
        <v>16</v>
      </c>
      <c r="M72" s="3">
        <v>83.000003942288402</v>
      </c>
      <c r="N72" t="s">
        <v>17</v>
      </c>
    </row>
    <row r="73" spans="1:14" hidden="1" x14ac:dyDescent="0.2">
      <c r="A73" t="s">
        <v>21</v>
      </c>
      <c r="B73" t="s">
        <v>14</v>
      </c>
      <c r="C73" s="2">
        <v>34330</v>
      </c>
      <c r="D73">
        <v>694929</v>
      </c>
      <c r="E73">
        <v>6209746</v>
      </c>
      <c r="F73">
        <v>1</v>
      </c>
      <c r="G73">
        <v>1</v>
      </c>
      <c r="H73">
        <v>0</v>
      </c>
      <c r="I73">
        <v>2</v>
      </c>
      <c r="J73" t="str">
        <f>_xlfn.TEXTJOIN("-",,H73,I73)</f>
        <v>0-2</v>
      </c>
      <c r="K73" t="s">
        <v>15</v>
      </c>
      <c r="L73" t="s">
        <v>16</v>
      </c>
      <c r="M73" s="3">
        <v>9.6000004559755308</v>
      </c>
      <c r="N73" t="s">
        <v>17</v>
      </c>
    </row>
    <row r="74" spans="1:14" hidden="1" x14ac:dyDescent="0.2">
      <c r="A74" t="s">
        <v>18</v>
      </c>
      <c r="B74" t="s">
        <v>19</v>
      </c>
      <c r="C74" s="2">
        <v>34330</v>
      </c>
      <c r="D74">
        <v>692735</v>
      </c>
      <c r="E74">
        <v>6209960</v>
      </c>
      <c r="F74">
        <v>2</v>
      </c>
      <c r="G74">
        <v>2</v>
      </c>
      <c r="H74">
        <v>2</v>
      </c>
      <c r="I74">
        <v>5</v>
      </c>
      <c r="J74" t="str">
        <f>_xlfn.TEXTJOIN("-",,H74,I74)</f>
        <v>2-5</v>
      </c>
      <c r="K74" t="s">
        <v>28</v>
      </c>
      <c r="L74" t="s">
        <v>16</v>
      </c>
      <c r="M74" s="3">
        <v>0.19100000907201301</v>
      </c>
      <c r="N74" t="s">
        <v>17</v>
      </c>
    </row>
    <row r="75" spans="1:14" hidden="1" x14ac:dyDescent="0.2">
      <c r="A75" t="s">
        <v>21</v>
      </c>
      <c r="B75" t="s">
        <v>14</v>
      </c>
      <c r="C75" s="2">
        <v>34330</v>
      </c>
      <c r="D75">
        <v>694929</v>
      </c>
      <c r="E75">
        <v>6209746</v>
      </c>
      <c r="F75">
        <v>1</v>
      </c>
      <c r="G75">
        <v>3</v>
      </c>
      <c r="H75">
        <v>5</v>
      </c>
      <c r="I75">
        <v>8</v>
      </c>
      <c r="J75" t="str">
        <f>_xlfn.TEXTJOIN("-",,H75,I75)</f>
        <v>5-8</v>
      </c>
      <c r="K75" t="s">
        <v>20</v>
      </c>
      <c r="L75" t="s">
        <v>16</v>
      </c>
      <c r="M75" s="3">
        <v>87.000004132278306</v>
      </c>
      <c r="N75" t="s">
        <v>17</v>
      </c>
    </row>
    <row r="76" spans="1:14" hidden="1" x14ac:dyDescent="0.2">
      <c r="A76" t="s">
        <v>18</v>
      </c>
      <c r="B76" t="s">
        <v>19</v>
      </c>
      <c r="C76" s="2">
        <v>37565</v>
      </c>
      <c r="D76">
        <v>692735</v>
      </c>
      <c r="E76">
        <v>6209960</v>
      </c>
      <c r="F76">
        <v>1</v>
      </c>
      <c r="G76">
        <v>1</v>
      </c>
      <c r="H76">
        <v>0</v>
      </c>
      <c r="I76">
        <v>2</v>
      </c>
      <c r="J76" t="str">
        <f>_xlfn.TEXTJOIN("-",,H76,I76)</f>
        <v>0-2</v>
      </c>
      <c r="K76" t="s">
        <v>24</v>
      </c>
      <c r="L76" t="s">
        <v>16</v>
      </c>
      <c r="M76" s="3">
        <v>14.800000702962301</v>
      </c>
      <c r="N76" t="s">
        <v>17</v>
      </c>
    </row>
    <row r="77" spans="1:14" hidden="1" x14ac:dyDescent="0.2">
      <c r="A77" t="s">
        <v>18</v>
      </c>
      <c r="B77" t="s">
        <v>19</v>
      </c>
      <c r="C77" s="2">
        <v>34330</v>
      </c>
      <c r="D77">
        <v>692735</v>
      </c>
      <c r="E77">
        <v>6209960</v>
      </c>
      <c r="F77">
        <v>1</v>
      </c>
      <c r="G77">
        <v>3</v>
      </c>
      <c r="H77">
        <v>5</v>
      </c>
      <c r="I77">
        <v>10</v>
      </c>
      <c r="J77" t="str">
        <f>_xlfn.TEXTJOIN("-",,H77,I77)</f>
        <v>5-10</v>
      </c>
      <c r="K77" t="s">
        <v>30</v>
      </c>
      <c r="L77" t="s">
        <v>16</v>
      </c>
      <c r="M77" s="3">
        <v>1.60000007599592E-2</v>
      </c>
      <c r="N77" t="s">
        <v>17</v>
      </c>
    </row>
    <row r="78" spans="1:14" hidden="1" x14ac:dyDescent="0.2">
      <c r="A78" t="s">
        <v>18</v>
      </c>
      <c r="B78" t="s">
        <v>19</v>
      </c>
      <c r="C78" s="2">
        <v>34330</v>
      </c>
      <c r="D78">
        <v>692735</v>
      </c>
      <c r="E78">
        <v>6209960</v>
      </c>
      <c r="F78">
        <v>2</v>
      </c>
      <c r="G78">
        <v>2</v>
      </c>
      <c r="H78">
        <v>2</v>
      </c>
      <c r="I78">
        <v>5</v>
      </c>
      <c r="J78" t="str">
        <f>_xlfn.TEXTJOIN("-",,H78,I78)</f>
        <v>2-5</v>
      </c>
      <c r="K78" t="s">
        <v>30</v>
      </c>
      <c r="L78" t="s">
        <v>16</v>
      </c>
      <c r="M78" s="3">
        <v>1.1000000522472001E-2</v>
      </c>
      <c r="N78" t="s">
        <v>17</v>
      </c>
    </row>
    <row r="79" spans="1:14" hidden="1" x14ac:dyDescent="0.2">
      <c r="A79" t="s">
        <v>18</v>
      </c>
      <c r="B79" t="s">
        <v>19</v>
      </c>
      <c r="C79" s="2">
        <v>34330</v>
      </c>
      <c r="D79">
        <v>692735</v>
      </c>
      <c r="E79">
        <v>6209960</v>
      </c>
      <c r="F79">
        <v>2</v>
      </c>
      <c r="G79">
        <v>2</v>
      </c>
      <c r="H79">
        <v>2</v>
      </c>
      <c r="I79">
        <v>5</v>
      </c>
      <c r="J79" t="str">
        <f>_xlfn.TEXTJOIN("-",,H79,I79)</f>
        <v>2-5</v>
      </c>
      <c r="K79" t="s">
        <v>32</v>
      </c>
      <c r="L79" t="s">
        <v>16</v>
      </c>
      <c r="M79" s="3">
        <v>3.7000001757405698E-2</v>
      </c>
      <c r="N79" t="s">
        <v>17</v>
      </c>
    </row>
    <row r="80" spans="1:14" hidden="1" x14ac:dyDescent="0.2">
      <c r="A80" t="s">
        <v>13</v>
      </c>
      <c r="B80" t="s">
        <v>14</v>
      </c>
      <c r="C80" s="2">
        <v>35745</v>
      </c>
      <c r="D80">
        <v>695956</v>
      </c>
      <c r="E80">
        <v>6208568</v>
      </c>
      <c r="F80">
        <v>1</v>
      </c>
      <c r="G80">
        <v>6</v>
      </c>
      <c r="H80">
        <v>30</v>
      </c>
      <c r="I80">
        <v>41</v>
      </c>
      <c r="J80" t="str">
        <f>_xlfn.TEXTJOIN("-",,H80,I80)</f>
        <v>30-41</v>
      </c>
      <c r="K80" t="s">
        <v>24</v>
      </c>
      <c r="L80" t="s">
        <v>16</v>
      </c>
      <c r="M80" s="3">
        <v>9.6300004574004596</v>
      </c>
      <c r="N80" t="s">
        <v>17</v>
      </c>
    </row>
    <row r="81" spans="1:14" hidden="1" x14ac:dyDescent="0.2">
      <c r="A81" t="s">
        <v>18</v>
      </c>
      <c r="B81" t="s">
        <v>19</v>
      </c>
      <c r="C81" s="2">
        <v>34330</v>
      </c>
      <c r="D81">
        <v>692735</v>
      </c>
      <c r="E81">
        <v>6209960</v>
      </c>
      <c r="F81">
        <v>1</v>
      </c>
      <c r="G81">
        <v>2</v>
      </c>
      <c r="H81">
        <v>2</v>
      </c>
      <c r="I81">
        <v>5</v>
      </c>
      <c r="J81" t="str">
        <f>_xlfn.TEXTJOIN("-",,H81,I81)</f>
        <v>2-5</v>
      </c>
      <c r="K81" t="s">
        <v>15</v>
      </c>
      <c r="L81" t="s">
        <v>16</v>
      </c>
      <c r="M81" s="3">
        <v>14.000000664964301</v>
      </c>
      <c r="N81" t="s">
        <v>17</v>
      </c>
    </row>
    <row r="82" spans="1:14" hidden="1" x14ac:dyDescent="0.2">
      <c r="A82" t="s">
        <v>18</v>
      </c>
      <c r="B82" t="s">
        <v>19</v>
      </c>
      <c r="C82" s="2">
        <v>34330</v>
      </c>
      <c r="D82">
        <v>692735</v>
      </c>
      <c r="E82">
        <v>6209960</v>
      </c>
      <c r="F82">
        <v>1</v>
      </c>
      <c r="G82">
        <v>3</v>
      </c>
      <c r="H82">
        <v>5</v>
      </c>
      <c r="I82">
        <v>10</v>
      </c>
      <c r="J82" t="str">
        <f>_xlfn.TEXTJOIN("-",,H82,I82)</f>
        <v>5-10</v>
      </c>
      <c r="K82" t="s">
        <v>25</v>
      </c>
      <c r="L82" t="s">
        <v>16</v>
      </c>
      <c r="M82" s="3">
        <v>20.100000299513301</v>
      </c>
      <c r="N82" t="s">
        <v>26</v>
      </c>
    </row>
    <row r="83" spans="1:14" hidden="1" x14ac:dyDescent="0.2">
      <c r="A83" t="s">
        <v>18</v>
      </c>
      <c r="B83" t="s">
        <v>19</v>
      </c>
      <c r="C83" s="2">
        <v>34330</v>
      </c>
      <c r="D83">
        <v>692735</v>
      </c>
      <c r="E83">
        <v>6209960</v>
      </c>
      <c r="F83">
        <v>2</v>
      </c>
      <c r="G83">
        <v>2</v>
      </c>
      <c r="H83">
        <v>2</v>
      </c>
      <c r="I83">
        <v>5</v>
      </c>
      <c r="J83" t="str">
        <f>_xlfn.TEXTJOIN("-",,H83,I83)</f>
        <v>2-5</v>
      </c>
      <c r="K83" t="s">
        <v>15</v>
      </c>
      <c r="L83" t="s">
        <v>16</v>
      </c>
      <c r="M83" s="3">
        <v>6.7000003182329202</v>
      </c>
      <c r="N83" t="s">
        <v>17</v>
      </c>
    </row>
    <row r="84" spans="1:14" hidden="1" x14ac:dyDescent="0.2">
      <c r="A84" t="s">
        <v>21</v>
      </c>
      <c r="B84" t="s">
        <v>14</v>
      </c>
      <c r="C84" s="2">
        <v>35745</v>
      </c>
      <c r="D84">
        <v>694929</v>
      </c>
      <c r="E84">
        <v>6209746</v>
      </c>
      <c r="F84">
        <v>1</v>
      </c>
      <c r="G84">
        <v>4</v>
      </c>
      <c r="H84">
        <v>10</v>
      </c>
      <c r="I84">
        <v>20</v>
      </c>
      <c r="J84" t="str">
        <f>_xlfn.TEXTJOIN("-",,H84,I84)</f>
        <v>10-20</v>
      </c>
      <c r="K84" t="s">
        <v>24</v>
      </c>
      <c r="L84" t="s">
        <v>16</v>
      </c>
      <c r="M84" s="3">
        <v>16.920000803656901</v>
      </c>
      <c r="N84" t="s">
        <v>17</v>
      </c>
    </row>
    <row r="85" spans="1:14" hidden="1" x14ac:dyDescent="0.2">
      <c r="A85" t="s">
        <v>18</v>
      </c>
      <c r="B85" t="s">
        <v>19</v>
      </c>
      <c r="C85" s="2">
        <v>34330</v>
      </c>
      <c r="D85">
        <v>692735</v>
      </c>
      <c r="E85">
        <v>6209960</v>
      </c>
      <c r="F85">
        <v>1</v>
      </c>
      <c r="G85">
        <v>4</v>
      </c>
      <c r="H85">
        <v>10</v>
      </c>
      <c r="I85">
        <v>20</v>
      </c>
      <c r="J85" t="str">
        <f>_xlfn.TEXTJOIN("-",,H85,I85)</f>
        <v>10-20</v>
      </c>
      <c r="K85" t="s">
        <v>25</v>
      </c>
      <c r="L85" t="s">
        <v>16</v>
      </c>
      <c r="M85" s="3">
        <v>21.6000003218651</v>
      </c>
      <c r="N85" t="s">
        <v>26</v>
      </c>
    </row>
    <row r="86" spans="1:14" hidden="1" x14ac:dyDescent="0.2">
      <c r="A86" t="s">
        <v>13</v>
      </c>
      <c r="B86" t="s">
        <v>14</v>
      </c>
      <c r="C86" s="2">
        <v>35745</v>
      </c>
      <c r="D86">
        <v>695956</v>
      </c>
      <c r="E86">
        <v>6208568</v>
      </c>
      <c r="F86">
        <v>1</v>
      </c>
      <c r="G86">
        <v>4</v>
      </c>
      <c r="H86">
        <v>10</v>
      </c>
      <c r="I86">
        <v>20</v>
      </c>
      <c r="J86" t="str">
        <f>_xlfn.TEXTJOIN("-",,H86,I86)</f>
        <v>10-20</v>
      </c>
      <c r="K86" t="s">
        <v>24</v>
      </c>
      <c r="L86" t="s">
        <v>16</v>
      </c>
      <c r="M86" s="3">
        <v>20.000000949949001</v>
      </c>
      <c r="N86" t="s">
        <v>17</v>
      </c>
    </row>
    <row r="87" spans="1:14" hidden="1" x14ac:dyDescent="0.2">
      <c r="A87" t="s">
        <v>18</v>
      </c>
      <c r="B87" t="s">
        <v>19</v>
      </c>
      <c r="C87" s="2">
        <v>34330</v>
      </c>
      <c r="D87">
        <v>692735</v>
      </c>
      <c r="E87">
        <v>6209960</v>
      </c>
      <c r="F87">
        <v>2</v>
      </c>
      <c r="G87">
        <v>1</v>
      </c>
      <c r="H87">
        <v>0</v>
      </c>
      <c r="I87">
        <v>2</v>
      </c>
      <c r="J87" t="str">
        <f>_xlfn.TEXTJOIN("-",,H87,I87)</f>
        <v>0-2</v>
      </c>
      <c r="K87" t="s">
        <v>20</v>
      </c>
      <c r="L87" t="s">
        <v>16</v>
      </c>
      <c r="M87" s="3">
        <v>28.000001329928601</v>
      </c>
      <c r="N87" t="s">
        <v>17</v>
      </c>
    </row>
    <row r="88" spans="1:14" hidden="1" x14ac:dyDescent="0.2">
      <c r="A88" t="s">
        <v>18</v>
      </c>
      <c r="B88" t="s">
        <v>19</v>
      </c>
      <c r="C88" s="2">
        <v>34330</v>
      </c>
      <c r="D88">
        <v>692735</v>
      </c>
      <c r="E88">
        <v>6209960</v>
      </c>
      <c r="F88">
        <v>2</v>
      </c>
      <c r="G88">
        <v>2</v>
      </c>
      <c r="H88">
        <v>2</v>
      </c>
      <c r="I88">
        <v>5</v>
      </c>
      <c r="J88" t="str">
        <f>_xlfn.TEXTJOIN("-",,H88,I88)</f>
        <v>2-5</v>
      </c>
      <c r="K88" t="s">
        <v>20</v>
      </c>
      <c r="L88" t="s">
        <v>16</v>
      </c>
      <c r="M88" s="3">
        <v>33.0000015674159</v>
      </c>
      <c r="N88" t="s">
        <v>17</v>
      </c>
    </row>
    <row r="89" spans="1:14" hidden="1" x14ac:dyDescent="0.2">
      <c r="A89" t="s">
        <v>21</v>
      </c>
      <c r="B89" t="s">
        <v>14</v>
      </c>
      <c r="C89" s="2">
        <v>34330</v>
      </c>
      <c r="D89">
        <v>694929</v>
      </c>
      <c r="E89">
        <v>6209746</v>
      </c>
      <c r="F89">
        <v>1</v>
      </c>
      <c r="G89">
        <v>2</v>
      </c>
      <c r="H89">
        <v>2</v>
      </c>
      <c r="I89">
        <v>5</v>
      </c>
      <c r="J89" t="str">
        <f>_xlfn.TEXTJOIN("-",,H89,I89)</f>
        <v>2-5</v>
      </c>
      <c r="K89" t="s">
        <v>25</v>
      </c>
      <c r="L89" t="s">
        <v>16</v>
      </c>
      <c r="M89" s="3">
        <v>1.1400000169873199</v>
      </c>
      <c r="N89" t="s">
        <v>26</v>
      </c>
    </row>
    <row r="90" spans="1:14" hidden="1" x14ac:dyDescent="0.2">
      <c r="A90" t="s">
        <v>18</v>
      </c>
      <c r="B90" t="s">
        <v>19</v>
      </c>
      <c r="C90" s="2">
        <v>34330</v>
      </c>
      <c r="D90">
        <v>692735</v>
      </c>
      <c r="E90">
        <v>6209960</v>
      </c>
      <c r="F90">
        <v>1</v>
      </c>
      <c r="G90">
        <v>2</v>
      </c>
      <c r="H90">
        <v>2</v>
      </c>
      <c r="I90">
        <v>5</v>
      </c>
      <c r="J90" t="str">
        <f>_xlfn.TEXTJOIN("-",,H90,I90)</f>
        <v>2-5</v>
      </c>
      <c r="K90" t="s">
        <v>25</v>
      </c>
      <c r="L90" t="s">
        <v>16</v>
      </c>
      <c r="M90" s="3">
        <v>18.000000268220901</v>
      </c>
      <c r="N90" t="s">
        <v>26</v>
      </c>
    </row>
    <row r="91" spans="1:14" hidden="1" x14ac:dyDescent="0.2">
      <c r="A91" t="s">
        <v>18</v>
      </c>
      <c r="B91" t="s">
        <v>19</v>
      </c>
      <c r="C91" s="2">
        <v>35745</v>
      </c>
      <c r="D91">
        <v>692735</v>
      </c>
      <c r="E91">
        <v>6209960</v>
      </c>
      <c r="F91">
        <v>1</v>
      </c>
      <c r="G91">
        <v>4</v>
      </c>
      <c r="H91">
        <v>10</v>
      </c>
      <c r="I91">
        <v>20</v>
      </c>
      <c r="J91" t="str">
        <f>_xlfn.TEXTJOIN("-",,H91,I91)</f>
        <v>10-20</v>
      </c>
      <c r="K91" t="s">
        <v>24</v>
      </c>
      <c r="L91" t="s">
        <v>16</v>
      </c>
      <c r="M91" s="3">
        <v>18.8600008958019</v>
      </c>
      <c r="N91" t="s">
        <v>17</v>
      </c>
    </row>
    <row r="92" spans="1:14" hidden="1" x14ac:dyDescent="0.2">
      <c r="A92" t="s">
        <v>21</v>
      </c>
      <c r="B92" t="s">
        <v>14</v>
      </c>
      <c r="C92" s="2">
        <v>34330</v>
      </c>
      <c r="D92">
        <v>694929</v>
      </c>
      <c r="E92">
        <v>6209746</v>
      </c>
      <c r="F92">
        <v>1</v>
      </c>
      <c r="G92">
        <v>2</v>
      </c>
      <c r="H92">
        <v>2</v>
      </c>
      <c r="I92">
        <v>5</v>
      </c>
      <c r="J92" t="str">
        <f>_xlfn.TEXTJOIN("-",,H92,I92)</f>
        <v>2-5</v>
      </c>
      <c r="K92" t="s">
        <v>15</v>
      </c>
      <c r="L92" t="s">
        <v>16</v>
      </c>
      <c r="M92" s="3">
        <v>9.9000004702247697</v>
      </c>
      <c r="N92" t="s">
        <v>17</v>
      </c>
    </row>
    <row r="93" spans="1:14" hidden="1" x14ac:dyDescent="0.2">
      <c r="A93" t="s">
        <v>18</v>
      </c>
      <c r="B93" t="s">
        <v>19</v>
      </c>
      <c r="C93" s="2">
        <v>34330</v>
      </c>
      <c r="D93">
        <v>692735</v>
      </c>
      <c r="E93">
        <v>6209960</v>
      </c>
      <c r="F93">
        <v>2</v>
      </c>
      <c r="G93">
        <v>6</v>
      </c>
      <c r="H93">
        <v>30</v>
      </c>
      <c r="I93">
        <v>38</v>
      </c>
      <c r="J93" t="str">
        <f>_xlfn.TEXTJOIN("-",,H93,I93)</f>
        <v>30-38</v>
      </c>
      <c r="K93" t="s">
        <v>29</v>
      </c>
      <c r="L93" t="s">
        <v>33</v>
      </c>
      <c r="M93" s="3">
        <v>5.00000023748726E-3</v>
      </c>
      <c r="N93" t="s">
        <v>17</v>
      </c>
    </row>
    <row r="94" spans="1:14" hidden="1" x14ac:dyDescent="0.2">
      <c r="A94" t="s">
        <v>18</v>
      </c>
      <c r="B94" t="s">
        <v>19</v>
      </c>
      <c r="C94" s="2">
        <v>34330</v>
      </c>
      <c r="D94">
        <v>692735</v>
      </c>
      <c r="E94">
        <v>6209960</v>
      </c>
      <c r="F94">
        <v>1</v>
      </c>
      <c r="G94">
        <v>3</v>
      </c>
      <c r="H94">
        <v>5</v>
      </c>
      <c r="I94">
        <v>10</v>
      </c>
      <c r="J94" t="str">
        <f>_xlfn.TEXTJOIN("-",,H94,I94)</f>
        <v>5-10</v>
      </c>
      <c r="K94" t="s">
        <v>31</v>
      </c>
      <c r="L94" t="s">
        <v>16</v>
      </c>
      <c r="M94" s="3">
        <v>0.27900001325178903</v>
      </c>
      <c r="N94" t="s">
        <v>17</v>
      </c>
    </row>
    <row r="95" spans="1:14" hidden="1" x14ac:dyDescent="0.2">
      <c r="A95" t="s">
        <v>18</v>
      </c>
      <c r="B95" t="s">
        <v>19</v>
      </c>
      <c r="C95" s="2">
        <v>34330</v>
      </c>
      <c r="D95">
        <v>692735</v>
      </c>
      <c r="E95">
        <v>6209960</v>
      </c>
      <c r="F95">
        <v>2</v>
      </c>
      <c r="G95">
        <v>3</v>
      </c>
      <c r="H95">
        <v>5</v>
      </c>
      <c r="I95">
        <v>10</v>
      </c>
      <c r="J95" t="str">
        <f>_xlfn.TEXTJOIN("-",,H95,I95)</f>
        <v>5-10</v>
      </c>
      <c r="K95" t="s">
        <v>31</v>
      </c>
      <c r="L95" t="s">
        <v>16</v>
      </c>
      <c r="M95" s="3">
        <v>0.31100001477170702</v>
      </c>
      <c r="N95" t="s">
        <v>17</v>
      </c>
    </row>
    <row r="96" spans="1:14" x14ac:dyDescent="0.2">
      <c r="A96" t="s">
        <v>18</v>
      </c>
      <c r="B96" t="s">
        <v>19</v>
      </c>
      <c r="C96" s="2">
        <v>34330</v>
      </c>
      <c r="D96">
        <v>692735</v>
      </c>
      <c r="E96">
        <v>6209960</v>
      </c>
      <c r="F96">
        <v>2</v>
      </c>
      <c r="G96">
        <v>1</v>
      </c>
      <c r="H96">
        <v>0</v>
      </c>
      <c r="I96">
        <v>2</v>
      </c>
      <c r="J96" t="str">
        <f>_xlfn.TEXTJOIN("-",,H96,I96)</f>
        <v>0-2</v>
      </c>
      <c r="K96" t="s">
        <v>27</v>
      </c>
      <c r="L96" t="s">
        <v>16</v>
      </c>
      <c r="M96" s="3">
        <v>0.477000022656284</v>
      </c>
      <c r="N96" t="s">
        <v>17</v>
      </c>
    </row>
    <row r="97" spans="1:14" hidden="1" x14ac:dyDescent="0.2">
      <c r="A97" t="s">
        <v>21</v>
      </c>
      <c r="B97" t="s">
        <v>14</v>
      </c>
      <c r="C97" s="2">
        <v>34330</v>
      </c>
      <c r="D97">
        <v>694929</v>
      </c>
      <c r="E97">
        <v>6209746</v>
      </c>
      <c r="F97">
        <v>1</v>
      </c>
      <c r="G97">
        <v>1</v>
      </c>
      <c r="H97">
        <v>0</v>
      </c>
      <c r="I97">
        <v>2</v>
      </c>
      <c r="J97" t="str">
        <f>_xlfn.TEXTJOIN("-",,H97,I97)</f>
        <v>0-2</v>
      </c>
      <c r="K97" t="s">
        <v>29</v>
      </c>
      <c r="L97" t="s">
        <v>16</v>
      </c>
      <c r="M97" s="3">
        <v>6.4000003039836897E-2</v>
      </c>
      <c r="N97" t="s">
        <v>17</v>
      </c>
    </row>
    <row r="98" spans="1:14" hidden="1" x14ac:dyDescent="0.2">
      <c r="A98" t="s">
        <v>18</v>
      </c>
      <c r="B98" t="s">
        <v>19</v>
      </c>
      <c r="C98" s="2">
        <v>34330</v>
      </c>
      <c r="D98">
        <v>692735</v>
      </c>
      <c r="E98">
        <v>6209960</v>
      </c>
      <c r="F98">
        <v>1</v>
      </c>
      <c r="G98">
        <v>3</v>
      </c>
      <c r="H98">
        <v>5</v>
      </c>
      <c r="I98">
        <v>10</v>
      </c>
      <c r="J98" t="str">
        <f>_xlfn.TEXTJOIN("-",,H98,I98)</f>
        <v>5-10</v>
      </c>
      <c r="K98" t="s">
        <v>29</v>
      </c>
      <c r="L98" t="s">
        <v>33</v>
      </c>
      <c r="M98" s="3">
        <v>5.00000023748726E-3</v>
      </c>
      <c r="N98" t="s">
        <v>17</v>
      </c>
    </row>
    <row r="99" spans="1:14" hidden="1" x14ac:dyDescent="0.2">
      <c r="A99" t="s">
        <v>18</v>
      </c>
      <c r="B99" t="s">
        <v>19</v>
      </c>
      <c r="C99" s="2">
        <v>34330</v>
      </c>
      <c r="D99">
        <v>692735</v>
      </c>
      <c r="E99">
        <v>6209960</v>
      </c>
      <c r="F99">
        <v>2</v>
      </c>
      <c r="G99">
        <v>1</v>
      </c>
      <c r="H99">
        <v>0</v>
      </c>
      <c r="I99">
        <v>2</v>
      </c>
      <c r="J99" t="str">
        <f>_xlfn.TEXTJOIN("-",,H99,I99)</f>
        <v>0-2</v>
      </c>
      <c r="K99" t="s">
        <v>22</v>
      </c>
      <c r="L99" t="s">
        <v>16</v>
      </c>
      <c r="M99" s="3">
        <v>19.600000292062798</v>
      </c>
      <c r="N99" t="s">
        <v>23</v>
      </c>
    </row>
    <row r="100" spans="1:14" hidden="1" x14ac:dyDescent="0.2">
      <c r="A100" t="s">
        <v>18</v>
      </c>
      <c r="B100" t="s">
        <v>19</v>
      </c>
      <c r="C100" s="2">
        <v>34330</v>
      </c>
      <c r="D100">
        <v>692735</v>
      </c>
      <c r="E100">
        <v>6209960</v>
      </c>
      <c r="F100">
        <v>1</v>
      </c>
      <c r="G100">
        <v>5</v>
      </c>
      <c r="H100">
        <v>20</v>
      </c>
      <c r="I100">
        <v>30</v>
      </c>
      <c r="J100" t="str">
        <f>_xlfn.TEXTJOIN("-",,H100,I100)</f>
        <v>20-30</v>
      </c>
      <c r="K100" t="s">
        <v>20</v>
      </c>
      <c r="L100" t="s">
        <v>16</v>
      </c>
      <c r="M100" s="3">
        <v>53.000002517364898</v>
      </c>
      <c r="N100" t="s">
        <v>17</v>
      </c>
    </row>
    <row r="101" spans="1:14" hidden="1" x14ac:dyDescent="0.2">
      <c r="A101" t="s">
        <v>21</v>
      </c>
      <c r="B101" t="s">
        <v>14</v>
      </c>
      <c r="C101" s="2">
        <v>34330</v>
      </c>
      <c r="D101">
        <v>694929</v>
      </c>
      <c r="E101">
        <v>6209746</v>
      </c>
      <c r="F101">
        <v>1</v>
      </c>
      <c r="G101">
        <v>3</v>
      </c>
      <c r="H101">
        <v>5</v>
      </c>
      <c r="I101">
        <v>8</v>
      </c>
      <c r="J101" t="str">
        <f>_xlfn.TEXTJOIN("-",,H101,I101)</f>
        <v>5-8</v>
      </c>
      <c r="K101" t="s">
        <v>30</v>
      </c>
      <c r="L101" t="s">
        <v>33</v>
      </c>
      <c r="M101" s="3">
        <v>5.00000023748726E-3</v>
      </c>
      <c r="N101" t="s">
        <v>17</v>
      </c>
    </row>
    <row r="102" spans="1:14" hidden="1" x14ac:dyDescent="0.2">
      <c r="A102" t="s">
        <v>21</v>
      </c>
      <c r="B102" t="s">
        <v>14</v>
      </c>
      <c r="C102" s="2">
        <v>34330</v>
      </c>
      <c r="D102">
        <v>694929</v>
      </c>
      <c r="E102">
        <v>6209746</v>
      </c>
      <c r="F102">
        <v>1</v>
      </c>
      <c r="G102">
        <v>1</v>
      </c>
      <c r="H102">
        <v>0</v>
      </c>
      <c r="I102">
        <v>2</v>
      </c>
      <c r="J102" t="str">
        <f>_xlfn.TEXTJOIN("-",,H102,I102)</f>
        <v>0-2</v>
      </c>
      <c r="K102" t="s">
        <v>30</v>
      </c>
      <c r="L102" t="s">
        <v>16</v>
      </c>
      <c r="M102" s="3">
        <v>7.00000033248216E-3</v>
      </c>
      <c r="N102" t="s">
        <v>17</v>
      </c>
    </row>
    <row r="103" spans="1:14" hidden="1" x14ac:dyDescent="0.2">
      <c r="A103" t="s">
        <v>18</v>
      </c>
      <c r="B103" t="s">
        <v>19</v>
      </c>
      <c r="C103" s="2">
        <v>34330</v>
      </c>
      <c r="D103">
        <v>692735</v>
      </c>
      <c r="E103">
        <v>6209960</v>
      </c>
      <c r="F103">
        <v>2</v>
      </c>
      <c r="G103">
        <v>1</v>
      </c>
      <c r="H103">
        <v>0</v>
      </c>
      <c r="I103">
        <v>2</v>
      </c>
      <c r="J103" t="str">
        <f>_xlfn.TEXTJOIN("-",,H103,I103)</f>
        <v>0-2</v>
      </c>
      <c r="K103" t="s">
        <v>15</v>
      </c>
      <c r="L103" t="s">
        <v>16</v>
      </c>
      <c r="M103" s="3">
        <v>3.9000001852400601</v>
      </c>
      <c r="N103" t="s">
        <v>17</v>
      </c>
    </row>
    <row r="104" spans="1:14" hidden="1" x14ac:dyDescent="0.2">
      <c r="A104" t="s">
        <v>18</v>
      </c>
      <c r="B104" t="s">
        <v>19</v>
      </c>
      <c r="C104" s="2">
        <v>34330</v>
      </c>
      <c r="D104">
        <v>692735</v>
      </c>
      <c r="E104">
        <v>6209960</v>
      </c>
      <c r="F104">
        <v>2</v>
      </c>
      <c r="G104">
        <v>1</v>
      </c>
      <c r="H104">
        <v>0</v>
      </c>
      <c r="I104">
        <v>2</v>
      </c>
      <c r="J104" t="str">
        <f>_xlfn.TEXTJOIN("-",,H104,I104)</f>
        <v>0-2</v>
      </c>
      <c r="K104" t="s">
        <v>30</v>
      </c>
      <c r="L104" t="s">
        <v>16</v>
      </c>
      <c r="M104" s="3">
        <v>1.4000000664964299E-2</v>
      </c>
      <c r="N104" t="s">
        <v>17</v>
      </c>
    </row>
    <row r="105" spans="1:14" hidden="1" x14ac:dyDescent="0.2">
      <c r="A105" t="s">
        <v>18</v>
      </c>
      <c r="B105" t="s">
        <v>19</v>
      </c>
      <c r="C105" s="2">
        <v>34330</v>
      </c>
      <c r="D105">
        <v>692735</v>
      </c>
      <c r="E105">
        <v>6209960</v>
      </c>
      <c r="F105">
        <v>1</v>
      </c>
      <c r="G105">
        <v>2</v>
      </c>
      <c r="H105">
        <v>2</v>
      </c>
      <c r="I105">
        <v>5</v>
      </c>
      <c r="J105" t="str">
        <f>_xlfn.TEXTJOIN("-",,H105,I105)</f>
        <v>2-5</v>
      </c>
      <c r="K105" t="s">
        <v>28</v>
      </c>
      <c r="L105" t="s">
        <v>16</v>
      </c>
      <c r="M105" s="3">
        <v>0.25300001201685501</v>
      </c>
      <c r="N105" t="s">
        <v>17</v>
      </c>
    </row>
    <row r="106" spans="1:14" hidden="1" x14ac:dyDescent="0.2">
      <c r="A106" t="s">
        <v>18</v>
      </c>
      <c r="B106" t="s">
        <v>19</v>
      </c>
      <c r="C106" s="2">
        <v>34330</v>
      </c>
      <c r="D106">
        <v>692735</v>
      </c>
      <c r="E106">
        <v>6209960</v>
      </c>
      <c r="F106">
        <v>1</v>
      </c>
      <c r="G106">
        <v>2</v>
      </c>
      <c r="H106">
        <v>2</v>
      </c>
      <c r="I106">
        <v>5</v>
      </c>
      <c r="J106" t="str">
        <f>_xlfn.TEXTJOIN("-",,H106,I106)</f>
        <v>2-5</v>
      </c>
      <c r="K106" t="s">
        <v>32</v>
      </c>
      <c r="L106" t="s">
        <v>16</v>
      </c>
      <c r="M106" s="3">
        <v>7.5000003562308806E-2</v>
      </c>
      <c r="N106" t="s">
        <v>17</v>
      </c>
    </row>
    <row r="107" spans="1:14" hidden="1" x14ac:dyDescent="0.2">
      <c r="A107" t="s">
        <v>18</v>
      </c>
      <c r="B107" t="s">
        <v>19</v>
      </c>
      <c r="C107" s="2">
        <v>34330</v>
      </c>
      <c r="D107">
        <v>692735</v>
      </c>
      <c r="E107">
        <v>6209960</v>
      </c>
      <c r="F107">
        <v>2</v>
      </c>
      <c r="G107">
        <v>5</v>
      </c>
      <c r="H107">
        <v>20</v>
      </c>
      <c r="I107">
        <v>30</v>
      </c>
      <c r="J107" t="str">
        <f>_xlfn.TEXTJOIN("-",,H107,I107)</f>
        <v>20-30</v>
      </c>
      <c r="K107" t="s">
        <v>20</v>
      </c>
      <c r="L107" t="s">
        <v>16</v>
      </c>
      <c r="M107" s="3">
        <v>64.000003039836898</v>
      </c>
      <c r="N107" t="s">
        <v>17</v>
      </c>
    </row>
    <row r="108" spans="1:14" hidden="1" x14ac:dyDescent="0.2">
      <c r="A108" t="s">
        <v>21</v>
      </c>
      <c r="B108" t="s">
        <v>14</v>
      </c>
      <c r="C108" s="2">
        <v>34330</v>
      </c>
      <c r="D108">
        <v>694929</v>
      </c>
      <c r="E108">
        <v>6209746</v>
      </c>
      <c r="F108">
        <v>1</v>
      </c>
      <c r="G108">
        <v>3</v>
      </c>
      <c r="H108">
        <v>5</v>
      </c>
      <c r="I108">
        <v>8</v>
      </c>
      <c r="J108" t="str">
        <f>_xlfn.TEXTJOIN("-",,H108,I108)</f>
        <v>5-8</v>
      </c>
      <c r="K108" t="s">
        <v>15</v>
      </c>
      <c r="L108" t="s">
        <v>16</v>
      </c>
      <c r="M108" s="3">
        <v>20.000000949949001</v>
      </c>
      <c r="N108" t="s">
        <v>17</v>
      </c>
    </row>
    <row r="109" spans="1:14" hidden="1" x14ac:dyDescent="0.2">
      <c r="A109" t="s">
        <v>18</v>
      </c>
      <c r="B109" t="s">
        <v>19</v>
      </c>
      <c r="C109" s="2">
        <v>34330</v>
      </c>
      <c r="D109">
        <v>692735</v>
      </c>
      <c r="E109">
        <v>6209960</v>
      </c>
      <c r="F109">
        <v>2</v>
      </c>
      <c r="G109">
        <v>4</v>
      </c>
      <c r="H109">
        <v>10</v>
      </c>
      <c r="I109">
        <v>20</v>
      </c>
      <c r="J109" t="str">
        <f>_xlfn.TEXTJOIN("-",,H109,I109)</f>
        <v>10-20</v>
      </c>
      <c r="K109" t="s">
        <v>29</v>
      </c>
      <c r="L109" t="s">
        <v>16</v>
      </c>
      <c r="M109" s="3">
        <v>2.8000001329928598E-2</v>
      </c>
      <c r="N109" t="s">
        <v>17</v>
      </c>
    </row>
    <row r="110" spans="1:14" hidden="1" x14ac:dyDescent="0.2">
      <c r="A110" t="s">
        <v>18</v>
      </c>
      <c r="B110" t="s">
        <v>19</v>
      </c>
      <c r="C110" s="2">
        <v>34330</v>
      </c>
      <c r="D110">
        <v>692735</v>
      </c>
      <c r="E110">
        <v>6209960</v>
      </c>
      <c r="F110">
        <v>1</v>
      </c>
      <c r="G110">
        <v>5</v>
      </c>
      <c r="H110">
        <v>20</v>
      </c>
      <c r="I110">
        <v>30</v>
      </c>
      <c r="J110" t="str">
        <f>_xlfn.TEXTJOIN("-",,H110,I110)</f>
        <v>20-30</v>
      </c>
      <c r="K110" t="s">
        <v>15</v>
      </c>
      <c r="L110" t="s">
        <v>16</v>
      </c>
      <c r="M110" s="3">
        <v>18.000000854954099</v>
      </c>
      <c r="N110" t="s">
        <v>17</v>
      </c>
    </row>
    <row r="111" spans="1:14" hidden="1" x14ac:dyDescent="0.2">
      <c r="A111" t="s">
        <v>18</v>
      </c>
      <c r="B111" t="s">
        <v>19</v>
      </c>
      <c r="C111" s="2">
        <v>34330</v>
      </c>
      <c r="D111">
        <v>692735</v>
      </c>
      <c r="E111">
        <v>6209960</v>
      </c>
      <c r="F111">
        <v>2</v>
      </c>
      <c r="G111">
        <v>4</v>
      </c>
      <c r="H111">
        <v>10</v>
      </c>
      <c r="I111">
        <v>20</v>
      </c>
      <c r="J111" t="str">
        <f>_xlfn.TEXTJOIN("-",,H111,I111)</f>
        <v>10-20</v>
      </c>
      <c r="K111" t="s">
        <v>32</v>
      </c>
      <c r="L111" t="s">
        <v>16</v>
      </c>
      <c r="M111" s="3">
        <v>4.4000002089887899E-2</v>
      </c>
      <c r="N111" t="s">
        <v>17</v>
      </c>
    </row>
    <row r="112" spans="1:14" hidden="1" x14ac:dyDescent="0.2">
      <c r="A112" t="s">
        <v>18</v>
      </c>
      <c r="B112" t="s">
        <v>19</v>
      </c>
      <c r="C112" s="2">
        <v>34330</v>
      </c>
      <c r="D112">
        <v>692735</v>
      </c>
      <c r="E112">
        <v>6209960</v>
      </c>
      <c r="F112">
        <v>2</v>
      </c>
      <c r="G112">
        <v>4</v>
      </c>
      <c r="H112">
        <v>10</v>
      </c>
      <c r="I112">
        <v>20</v>
      </c>
      <c r="J112" t="str">
        <f>_xlfn.TEXTJOIN("-",,H112,I112)</f>
        <v>10-20</v>
      </c>
      <c r="K112" t="s">
        <v>28</v>
      </c>
      <c r="L112" t="s">
        <v>16</v>
      </c>
      <c r="M112" s="3">
        <v>0.121000005747192</v>
      </c>
      <c r="N112" t="s">
        <v>17</v>
      </c>
    </row>
    <row r="113" spans="1:14" x14ac:dyDescent="0.2">
      <c r="A113" t="s">
        <v>18</v>
      </c>
      <c r="B113" t="s">
        <v>19</v>
      </c>
      <c r="C113" s="2">
        <v>34330</v>
      </c>
      <c r="D113">
        <v>692735</v>
      </c>
      <c r="E113">
        <v>6209960</v>
      </c>
      <c r="F113">
        <v>1</v>
      </c>
      <c r="G113">
        <v>1</v>
      </c>
      <c r="H113">
        <v>0</v>
      </c>
      <c r="I113">
        <v>2</v>
      </c>
      <c r="J113" t="str">
        <f>_xlfn.TEXTJOIN("-",,H113,I113)</f>
        <v>0-2</v>
      </c>
      <c r="K113" t="s">
        <v>27</v>
      </c>
      <c r="L113" t="s">
        <v>16</v>
      </c>
      <c r="M113" s="3">
        <v>1.4180000673513899</v>
      </c>
      <c r="N113" t="s">
        <v>17</v>
      </c>
    </row>
    <row r="114" spans="1:14" hidden="1" x14ac:dyDescent="0.2">
      <c r="A114" t="s">
        <v>18</v>
      </c>
      <c r="B114" t="s">
        <v>19</v>
      </c>
      <c r="C114" s="2">
        <v>34330</v>
      </c>
      <c r="D114">
        <v>692735</v>
      </c>
      <c r="E114">
        <v>6209960</v>
      </c>
      <c r="F114">
        <v>2</v>
      </c>
      <c r="G114">
        <v>5</v>
      </c>
      <c r="H114">
        <v>20</v>
      </c>
      <c r="I114">
        <v>30</v>
      </c>
      <c r="J114" t="str">
        <f>_xlfn.TEXTJOIN("-",,H114,I114)</f>
        <v>20-30</v>
      </c>
      <c r="K114" t="s">
        <v>15</v>
      </c>
      <c r="L114" t="s">
        <v>16</v>
      </c>
      <c r="M114" s="3">
        <v>17.000000807456701</v>
      </c>
      <c r="N114" t="s">
        <v>17</v>
      </c>
    </row>
    <row r="115" spans="1:14" hidden="1" x14ac:dyDescent="0.2">
      <c r="A115" t="s">
        <v>18</v>
      </c>
      <c r="B115" t="s">
        <v>19</v>
      </c>
      <c r="C115" s="2">
        <v>34330</v>
      </c>
      <c r="D115">
        <v>692735</v>
      </c>
      <c r="E115">
        <v>6209960</v>
      </c>
      <c r="F115">
        <v>1</v>
      </c>
      <c r="G115">
        <v>5</v>
      </c>
      <c r="H115">
        <v>20</v>
      </c>
      <c r="I115">
        <v>30</v>
      </c>
      <c r="J115" t="str">
        <f>_xlfn.TEXTJOIN("-",,H115,I115)</f>
        <v>20-30</v>
      </c>
      <c r="K115" t="s">
        <v>22</v>
      </c>
      <c r="L115" t="s">
        <v>16</v>
      </c>
      <c r="M115" s="3">
        <v>16.300000242888899</v>
      </c>
      <c r="N115" t="s">
        <v>23</v>
      </c>
    </row>
    <row r="116" spans="1:14" hidden="1" x14ac:dyDescent="0.2">
      <c r="A116" t="s">
        <v>18</v>
      </c>
      <c r="B116" t="s">
        <v>19</v>
      </c>
      <c r="C116" s="2">
        <v>34330</v>
      </c>
      <c r="D116">
        <v>692735</v>
      </c>
      <c r="E116">
        <v>6209960</v>
      </c>
      <c r="F116">
        <v>1</v>
      </c>
      <c r="G116">
        <v>5</v>
      </c>
      <c r="H116">
        <v>20</v>
      </c>
      <c r="I116">
        <v>30</v>
      </c>
      <c r="J116" t="str">
        <f>_xlfn.TEXTJOIN("-",,H116,I116)</f>
        <v>20-30</v>
      </c>
      <c r="K116" t="s">
        <v>31</v>
      </c>
      <c r="L116" t="s">
        <v>16</v>
      </c>
      <c r="M116" s="3">
        <v>0.33800001605413899</v>
      </c>
      <c r="N116" t="s">
        <v>17</v>
      </c>
    </row>
    <row r="117" spans="1:14" hidden="1" x14ac:dyDescent="0.2">
      <c r="A117" t="s">
        <v>18</v>
      </c>
      <c r="B117" t="s">
        <v>19</v>
      </c>
      <c r="C117" s="2">
        <v>34330</v>
      </c>
      <c r="D117">
        <v>692735</v>
      </c>
      <c r="E117">
        <v>6209960</v>
      </c>
      <c r="F117">
        <v>2</v>
      </c>
      <c r="G117">
        <v>3</v>
      </c>
      <c r="H117">
        <v>5</v>
      </c>
      <c r="I117">
        <v>10</v>
      </c>
      <c r="J117" t="str">
        <f>_xlfn.TEXTJOIN("-",,H117,I117)</f>
        <v>5-10</v>
      </c>
      <c r="K117" t="s">
        <v>28</v>
      </c>
      <c r="L117" t="s">
        <v>16</v>
      </c>
      <c r="M117" s="3">
        <v>0.25700001220684499</v>
      </c>
      <c r="N117" t="s">
        <v>17</v>
      </c>
    </row>
    <row r="118" spans="1:14" hidden="1" x14ac:dyDescent="0.2">
      <c r="A118" t="s">
        <v>18</v>
      </c>
      <c r="B118" t="s">
        <v>19</v>
      </c>
      <c r="C118" s="2">
        <v>34330</v>
      </c>
      <c r="D118">
        <v>692735</v>
      </c>
      <c r="E118">
        <v>6209960</v>
      </c>
      <c r="F118">
        <v>1</v>
      </c>
      <c r="G118">
        <v>4</v>
      </c>
      <c r="H118">
        <v>10</v>
      </c>
      <c r="I118">
        <v>20</v>
      </c>
      <c r="J118" t="str">
        <f>_xlfn.TEXTJOIN("-",,H118,I118)</f>
        <v>10-20</v>
      </c>
      <c r="K118" t="s">
        <v>22</v>
      </c>
      <c r="L118" t="s">
        <v>16</v>
      </c>
      <c r="M118" s="3">
        <v>14.3000002130866</v>
      </c>
      <c r="N118" t="s">
        <v>23</v>
      </c>
    </row>
    <row r="119" spans="1:14" hidden="1" x14ac:dyDescent="0.2">
      <c r="A119" t="s">
        <v>18</v>
      </c>
      <c r="B119" t="s">
        <v>19</v>
      </c>
      <c r="C119" s="2">
        <v>34330</v>
      </c>
      <c r="D119">
        <v>692735</v>
      </c>
      <c r="E119">
        <v>6209960</v>
      </c>
      <c r="F119">
        <v>1</v>
      </c>
      <c r="G119">
        <v>1</v>
      </c>
      <c r="H119">
        <v>0</v>
      </c>
      <c r="I119">
        <v>2</v>
      </c>
      <c r="J119" t="str">
        <f>_xlfn.TEXTJOIN("-",,H119,I119)</f>
        <v>0-2</v>
      </c>
      <c r="K119" t="s">
        <v>28</v>
      </c>
      <c r="L119" t="s">
        <v>16</v>
      </c>
      <c r="M119" s="3">
        <v>0.42700002028141198</v>
      </c>
      <c r="N119" t="s">
        <v>17</v>
      </c>
    </row>
    <row r="120" spans="1:14" hidden="1" x14ac:dyDescent="0.2">
      <c r="A120" t="s">
        <v>18</v>
      </c>
      <c r="B120" t="s">
        <v>19</v>
      </c>
      <c r="C120" s="2">
        <v>35745</v>
      </c>
      <c r="D120">
        <v>692735</v>
      </c>
      <c r="E120">
        <v>6209960</v>
      </c>
      <c r="F120">
        <v>1</v>
      </c>
      <c r="G120">
        <v>5</v>
      </c>
      <c r="H120">
        <v>20</v>
      </c>
      <c r="I120">
        <v>30</v>
      </c>
      <c r="J120" t="str">
        <f>_xlfn.TEXTJOIN("-",,H120,I120)</f>
        <v>20-30</v>
      </c>
      <c r="K120" t="s">
        <v>24</v>
      </c>
      <c r="L120" t="s">
        <v>16</v>
      </c>
      <c r="M120" s="3">
        <v>13.740000652615</v>
      </c>
      <c r="N120" t="s">
        <v>17</v>
      </c>
    </row>
    <row r="121" spans="1:14" hidden="1" x14ac:dyDescent="0.2">
      <c r="A121" t="s">
        <v>18</v>
      </c>
      <c r="B121" t="s">
        <v>19</v>
      </c>
      <c r="C121" s="2">
        <v>34330</v>
      </c>
      <c r="D121">
        <v>692735</v>
      </c>
      <c r="E121">
        <v>6209960</v>
      </c>
      <c r="F121">
        <v>2</v>
      </c>
      <c r="G121">
        <v>5</v>
      </c>
      <c r="H121">
        <v>20</v>
      </c>
      <c r="I121">
        <v>30</v>
      </c>
      <c r="J121" t="str">
        <f>_xlfn.TEXTJOIN("-",,H121,I121)</f>
        <v>20-30</v>
      </c>
      <c r="K121" t="s">
        <v>29</v>
      </c>
      <c r="L121" t="s">
        <v>16</v>
      </c>
      <c r="M121" s="3">
        <v>0.36600001738406701</v>
      </c>
      <c r="N121" t="s">
        <v>17</v>
      </c>
    </row>
    <row r="122" spans="1:14" hidden="1" x14ac:dyDescent="0.2">
      <c r="A122" t="s">
        <v>18</v>
      </c>
      <c r="B122" t="s">
        <v>19</v>
      </c>
      <c r="C122" s="2">
        <v>34330</v>
      </c>
      <c r="D122">
        <v>692735</v>
      </c>
      <c r="E122">
        <v>6209960</v>
      </c>
      <c r="F122">
        <v>2</v>
      </c>
      <c r="G122">
        <v>6</v>
      </c>
      <c r="H122">
        <v>30</v>
      </c>
      <c r="I122">
        <v>38</v>
      </c>
      <c r="J122" t="str">
        <f>_xlfn.TEXTJOIN("-",,H122,I122)</f>
        <v>30-38</v>
      </c>
      <c r="K122" t="s">
        <v>28</v>
      </c>
      <c r="L122" t="s">
        <v>16</v>
      </c>
      <c r="M122" s="3">
        <v>0.22500001068692699</v>
      </c>
      <c r="N122" t="s">
        <v>17</v>
      </c>
    </row>
    <row r="123" spans="1:14" hidden="1" x14ac:dyDescent="0.2">
      <c r="A123" t="s">
        <v>18</v>
      </c>
      <c r="B123" t="s">
        <v>19</v>
      </c>
      <c r="C123" s="2">
        <v>34330</v>
      </c>
      <c r="D123">
        <v>692735</v>
      </c>
      <c r="E123">
        <v>6209960</v>
      </c>
      <c r="F123">
        <v>2</v>
      </c>
      <c r="G123">
        <v>3</v>
      </c>
      <c r="H123">
        <v>5</v>
      </c>
      <c r="I123">
        <v>10</v>
      </c>
      <c r="J123" t="str">
        <f>_xlfn.TEXTJOIN("-",,H123,I123)</f>
        <v>5-10</v>
      </c>
      <c r="K123" t="s">
        <v>25</v>
      </c>
      <c r="L123" t="s">
        <v>16</v>
      </c>
      <c r="M123" s="3">
        <v>21.2000003159046</v>
      </c>
      <c r="N123" t="s">
        <v>26</v>
      </c>
    </row>
    <row r="124" spans="1:14" hidden="1" x14ac:dyDescent="0.2">
      <c r="A124" t="s">
        <v>21</v>
      </c>
      <c r="B124" t="s">
        <v>14</v>
      </c>
      <c r="C124" s="2">
        <v>34330</v>
      </c>
      <c r="D124">
        <v>694929</v>
      </c>
      <c r="E124">
        <v>6209746</v>
      </c>
      <c r="F124">
        <v>1</v>
      </c>
      <c r="G124">
        <v>2</v>
      </c>
      <c r="H124">
        <v>2</v>
      </c>
      <c r="I124">
        <v>5</v>
      </c>
      <c r="J124" t="str">
        <f>_xlfn.TEXTJOIN("-",,H124,I124)</f>
        <v>2-5</v>
      </c>
      <c r="K124" t="s">
        <v>32</v>
      </c>
      <c r="L124" t="s">
        <v>16</v>
      </c>
      <c r="M124" s="3">
        <v>1.20000005699694E-2</v>
      </c>
      <c r="N124" t="s">
        <v>17</v>
      </c>
    </row>
    <row r="125" spans="1:14" hidden="1" x14ac:dyDescent="0.2">
      <c r="A125" t="s">
        <v>21</v>
      </c>
      <c r="B125" t="s">
        <v>14</v>
      </c>
      <c r="C125" s="2">
        <v>34330</v>
      </c>
      <c r="D125">
        <v>694929</v>
      </c>
      <c r="E125">
        <v>6209746</v>
      </c>
      <c r="F125">
        <v>1</v>
      </c>
      <c r="G125">
        <v>2</v>
      </c>
      <c r="H125">
        <v>2</v>
      </c>
      <c r="I125">
        <v>5</v>
      </c>
      <c r="J125" t="str">
        <f>_xlfn.TEXTJOIN("-",,H125,I125)</f>
        <v>2-5</v>
      </c>
      <c r="K125" t="s">
        <v>29</v>
      </c>
      <c r="L125" t="s">
        <v>33</v>
      </c>
      <c r="M125" s="3">
        <v>5.00000023748726E-3</v>
      </c>
      <c r="N125" t="s">
        <v>17</v>
      </c>
    </row>
    <row r="126" spans="1:14" hidden="1" x14ac:dyDescent="0.2">
      <c r="A126" t="s">
        <v>21</v>
      </c>
      <c r="B126" t="s">
        <v>14</v>
      </c>
      <c r="C126" s="2">
        <v>35745</v>
      </c>
      <c r="D126">
        <v>694929</v>
      </c>
      <c r="E126">
        <v>6209746</v>
      </c>
      <c r="F126">
        <v>1</v>
      </c>
      <c r="G126">
        <v>6</v>
      </c>
      <c r="H126">
        <v>30</v>
      </c>
      <c r="I126">
        <v>39</v>
      </c>
      <c r="J126" t="str">
        <f>_xlfn.TEXTJOIN("-",,H126,I126)</f>
        <v>30-39</v>
      </c>
      <c r="K126" t="s">
        <v>24</v>
      </c>
      <c r="L126" t="s">
        <v>16</v>
      </c>
      <c r="M126" s="3">
        <v>12.890000612242099</v>
      </c>
      <c r="N126" t="s">
        <v>17</v>
      </c>
    </row>
    <row r="127" spans="1:14" hidden="1" x14ac:dyDescent="0.2">
      <c r="A127" t="s">
        <v>21</v>
      </c>
      <c r="B127" t="s">
        <v>14</v>
      </c>
      <c r="C127" s="2">
        <v>34330</v>
      </c>
      <c r="D127">
        <v>694929</v>
      </c>
      <c r="E127">
        <v>6209746</v>
      </c>
      <c r="F127">
        <v>1</v>
      </c>
      <c r="G127">
        <v>1</v>
      </c>
      <c r="H127">
        <v>0</v>
      </c>
      <c r="I127">
        <v>2</v>
      </c>
      <c r="J127" t="str">
        <f>_xlfn.TEXTJOIN("-",,H127,I127)</f>
        <v>0-2</v>
      </c>
      <c r="K127" t="s">
        <v>31</v>
      </c>
      <c r="L127" t="s">
        <v>16</v>
      </c>
      <c r="M127" s="3">
        <v>2.5700001220684499</v>
      </c>
      <c r="N127" t="s">
        <v>17</v>
      </c>
    </row>
    <row r="128" spans="1:14" hidden="1" x14ac:dyDescent="0.2">
      <c r="A128" t="s">
        <v>18</v>
      </c>
      <c r="B128" t="s">
        <v>19</v>
      </c>
      <c r="C128" s="2">
        <v>34330</v>
      </c>
      <c r="D128">
        <v>692735</v>
      </c>
      <c r="E128">
        <v>6209960</v>
      </c>
      <c r="F128">
        <v>1</v>
      </c>
      <c r="G128">
        <v>6</v>
      </c>
      <c r="H128">
        <v>30</v>
      </c>
      <c r="I128">
        <v>38</v>
      </c>
      <c r="J128" t="str">
        <f>_xlfn.TEXTJOIN("-",,H128,I128)</f>
        <v>30-38</v>
      </c>
      <c r="K128" t="s">
        <v>25</v>
      </c>
      <c r="L128" t="s">
        <v>16</v>
      </c>
      <c r="M128" s="3">
        <v>31.900000475346999</v>
      </c>
      <c r="N128" t="s">
        <v>26</v>
      </c>
    </row>
    <row r="129" spans="1:14" hidden="1" x14ac:dyDescent="0.2">
      <c r="A129" t="s">
        <v>21</v>
      </c>
      <c r="B129" t="s">
        <v>14</v>
      </c>
      <c r="C129" s="2">
        <v>34330</v>
      </c>
      <c r="D129">
        <v>694929</v>
      </c>
      <c r="E129">
        <v>6209746</v>
      </c>
      <c r="F129">
        <v>1</v>
      </c>
      <c r="G129">
        <v>3</v>
      </c>
      <c r="H129">
        <v>5</v>
      </c>
      <c r="I129">
        <v>8</v>
      </c>
      <c r="J129" t="str">
        <f>_xlfn.TEXTJOIN("-",,H129,I129)</f>
        <v>5-8</v>
      </c>
      <c r="K129" t="s">
        <v>22</v>
      </c>
      <c r="L129" t="s">
        <v>16</v>
      </c>
      <c r="M129" s="3">
        <v>79.400001183152199</v>
      </c>
      <c r="N129" t="s">
        <v>23</v>
      </c>
    </row>
    <row r="130" spans="1:14" hidden="1" x14ac:dyDescent="0.2">
      <c r="A130" t="s">
        <v>18</v>
      </c>
      <c r="B130" t="s">
        <v>19</v>
      </c>
      <c r="C130" s="2">
        <v>34330</v>
      </c>
      <c r="D130">
        <v>692735</v>
      </c>
      <c r="E130">
        <v>6209960</v>
      </c>
      <c r="F130">
        <v>1</v>
      </c>
      <c r="G130">
        <v>4</v>
      </c>
      <c r="H130">
        <v>10</v>
      </c>
      <c r="I130">
        <v>20</v>
      </c>
      <c r="J130" t="str">
        <f>_xlfn.TEXTJOIN("-",,H130,I130)</f>
        <v>10-20</v>
      </c>
      <c r="K130" t="s">
        <v>30</v>
      </c>
      <c r="L130" t="s">
        <v>16</v>
      </c>
      <c r="M130" s="3">
        <v>1.30000006174669E-2</v>
      </c>
      <c r="N130" t="s">
        <v>17</v>
      </c>
    </row>
    <row r="131" spans="1:14" hidden="1" x14ac:dyDescent="0.2">
      <c r="A131" t="s">
        <v>18</v>
      </c>
      <c r="B131" t="s">
        <v>19</v>
      </c>
      <c r="C131" s="2">
        <v>34330</v>
      </c>
      <c r="D131">
        <v>692735</v>
      </c>
      <c r="E131">
        <v>6209960</v>
      </c>
      <c r="F131">
        <v>2</v>
      </c>
      <c r="G131">
        <v>2</v>
      </c>
      <c r="H131">
        <v>2</v>
      </c>
      <c r="I131">
        <v>5</v>
      </c>
      <c r="J131" t="str">
        <f>_xlfn.TEXTJOIN("-",,H131,I131)</f>
        <v>2-5</v>
      </c>
      <c r="K131" t="s">
        <v>31</v>
      </c>
      <c r="L131" t="s">
        <v>16</v>
      </c>
      <c r="M131" s="3">
        <v>0.20100000954698799</v>
      </c>
      <c r="N131" t="s">
        <v>17</v>
      </c>
    </row>
    <row r="132" spans="1:14" x14ac:dyDescent="0.2">
      <c r="A132" t="s">
        <v>21</v>
      </c>
      <c r="B132" t="s">
        <v>14</v>
      </c>
      <c r="C132" s="2">
        <v>34330</v>
      </c>
      <c r="D132">
        <v>694929</v>
      </c>
      <c r="E132">
        <v>6209746</v>
      </c>
      <c r="F132">
        <v>1</v>
      </c>
      <c r="G132">
        <v>1</v>
      </c>
      <c r="H132">
        <v>0</v>
      </c>
      <c r="I132">
        <v>2</v>
      </c>
      <c r="J132" t="str">
        <f>_xlfn.TEXTJOIN("-",,H132,I132)</f>
        <v>0-2</v>
      </c>
      <c r="K132" t="s">
        <v>27</v>
      </c>
      <c r="L132" t="s">
        <v>16</v>
      </c>
      <c r="M132" s="3">
        <v>3.7420001777354601</v>
      </c>
      <c r="N132" t="s">
        <v>17</v>
      </c>
    </row>
    <row r="133" spans="1:14" x14ac:dyDescent="0.2">
      <c r="A133" t="s">
        <v>13</v>
      </c>
      <c r="B133" t="s">
        <v>14</v>
      </c>
      <c r="C133" s="2">
        <v>35745</v>
      </c>
      <c r="D133">
        <v>695956</v>
      </c>
      <c r="E133">
        <v>6208568</v>
      </c>
      <c r="F133">
        <v>1</v>
      </c>
      <c r="G133">
        <v>1</v>
      </c>
      <c r="H133">
        <v>0</v>
      </c>
      <c r="I133">
        <v>2</v>
      </c>
      <c r="J133" t="str">
        <f>_xlfn.TEXTJOIN("-",,H133,I133)</f>
        <v>0-2</v>
      </c>
      <c r="K133" t="s">
        <v>27</v>
      </c>
      <c r="L133" t="s">
        <v>16</v>
      </c>
      <c r="M133" s="3">
        <v>1.91000009072013</v>
      </c>
      <c r="N133" t="s">
        <v>17</v>
      </c>
    </row>
    <row r="134" spans="1:14" hidden="1" x14ac:dyDescent="0.2">
      <c r="A134" t="s">
        <v>18</v>
      </c>
      <c r="B134" t="s">
        <v>19</v>
      </c>
      <c r="C134" s="2">
        <v>34330</v>
      </c>
      <c r="D134">
        <v>692735</v>
      </c>
      <c r="E134">
        <v>6209960</v>
      </c>
      <c r="F134">
        <v>1</v>
      </c>
      <c r="G134">
        <v>5</v>
      </c>
      <c r="H134">
        <v>20</v>
      </c>
      <c r="I134">
        <v>30</v>
      </c>
      <c r="J134" t="str">
        <f>_xlfn.TEXTJOIN("-",,H134,I134)</f>
        <v>20-30</v>
      </c>
      <c r="K134" t="s">
        <v>28</v>
      </c>
      <c r="L134" t="s">
        <v>16</v>
      </c>
      <c r="M134" s="3">
        <v>0.24000001139938801</v>
      </c>
      <c r="N134" t="s">
        <v>17</v>
      </c>
    </row>
    <row r="135" spans="1:14" hidden="1" x14ac:dyDescent="0.2">
      <c r="A135" t="s">
        <v>18</v>
      </c>
      <c r="B135" t="s">
        <v>19</v>
      </c>
      <c r="C135" s="2">
        <v>34330</v>
      </c>
      <c r="D135">
        <v>692735</v>
      </c>
      <c r="E135">
        <v>6209960</v>
      </c>
      <c r="F135">
        <v>1</v>
      </c>
      <c r="G135">
        <v>1</v>
      </c>
      <c r="H135">
        <v>0</v>
      </c>
      <c r="I135">
        <v>2</v>
      </c>
      <c r="J135" t="str">
        <f>_xlfn.TEXTJOIN("-",,H135,I135)</f>
        <v>0-2</v>
      </c>
      <c r="K135" t="s">
        <v>22</v>
      </c>
      <c r="L135" t="s">
        <v>16</v>
      </c>
      <c r="M135" s="3">
        <v>5.0100000746548199</v>
      </c>
      <c r="N135" t="s">
        <v>23</v>
      </c>
    </row>
    <row r="136" spans="1:14" hidden="1" x14ac:dyDescent="0.2">
      <c r="A136" t="s">
        <v>21</v>
      </c>
      <c r="B136" t="s">
        <v>14</v>
      </c>
      <c r="C136" s="2">
        <v>34330</v>
      </c>
      <c r="D136">
        <v>694929</v>
      </c>
      <c r="E136">
        <v>6209746</v>
      </c>
      <c r="F136">
        <v>1</v>
      </c>
      <c r="G136">
        <v>1</v>
      </c>
      <c r="H136">
        <v>0</v>
      </c>
      <c r="I136">
        <v>2</v>
      </c>
      <c r="J136" t="str">
        <f>_xlfn.TEXTJOIN("-",,H136,I136)</f>
        <v>0-2</v>
      </c>
      <c r="K136" t="s">
        <v>32</v>
      </c>
      <c r="L136" t="s">
        <v>16</v>
      </c>
      <c r="M136" s="3">
        <v>5.1000002422370003E-2</v>
      </c>
      <c r="N136" t="s">
        <v>17</v>
      </c>
    </row>
    <row r="137" spans="1:14" hidden="1" x14ac:dyDescent="0.2">
      <c r="A137" t="s">
        <v>18</v>
      </c>
      <c r="B137" t="s">
        <v>19</v>
      </c>
      <c r="C137" s="2">
        <v>34330</v>
      </c>
      <c r="D137">
        <v>692735</v>
      </c>
      <c r="E137">
        <v>6209960</v>
      </c>
      <c r="F137">
        <v>1</v>
      </c>
      <c r="G137">
        <v>5</v>
      </c>
      <c r="H137">
        <v>20</v>
      </c>
      <c r="I137">
        <v>30</v>
      </c>
      <c r="J137" t="str">
        <f>_xlfn.TEXTJOIN("-",,H137,I137)</f>
        <v>20-30</v>
      </c>
      <c r="K137" t="s">
        <v>32</v>
      </c>
      <c r="L137" t="s">
        <v>16</v>
      </c>
      <c r="M137" s="3">
        <v>0.120000005699694</v>
      </c>
      <c r="N137" t="s">
        <v>17</v>
      </c>
    </row>
    <row r="138" spans="1:14" hidden="1" x14ac:dyDescent="0.2">
      <c r="A138" t="s">
        <v>21</v>
      </c>
      <c r="B138" t="s">
        <v>14</v>
      </c>
      <c r="C138" s="2">
        <v>34330</v>
      </c>
      <c r="D138">
        <v>694929</v>
      </c>
      <c r="E138">
        <v>6209746</v>
      </c>
      <c r="F138">
        <v>1</v>
      </c>
      <c r="G138">
        <v>2</v>
      </c>
      <c r="H138">
        <v>2</v>
      </c>
      <c r="I138">
        <v>5</v>
      </c>
      <c r="J138" t="str">
        <f>_xlfn.TEXTJOIN("-",,H138,I138)</f>
        <v>2-5</v>
      </c>
      <c r="K138" t="s">
        <v>22</v>
      </c>
      <c r="L138" t="s">
        <v>16</v>
      </c>
      <c r="M138" s="3">
        <v>70.300001047551604</v>
      </c>
      <c r="N138" t="s">
        <v>23</v>
      </c>
    </row>
    <row r="139" spans="1:14" hidden="1" x14ac:dyDescent="0.2">
      <c r="A139" t="s">
        <v>18</v>
      </c>
      <c r="B139" t="s">
        <v>19</v>
      </c>
      <c r="C139" s="2">
        <v>34330</v>
      </c>
      <c r="D139">
        <v>692735</v>
      </c>
      <c r="E139">
        <v>6209960</v>
      </c>
      <c r="F139">
        <v>1</v>
      </c>
      <c r="G139">
        <v>1</v>
      </c>
      <c r="H139">
        <v>0</v>
      </c>
      <c r="I139">
        <v>2</v>
      </c>
      <c r="J139" t="str">
        <f>_xlfn.TEXTJOIN("-",,H139,I139)</f>
        <v>0-2</v>
      </c>
      <c r="K139" t="s">
        <v>20</v>
      </c>
      <c r="L139" t="s">
        <v>16</v>
      </c>
      <c r="M139" s="3">
        <v>170.00000807456701</v>
      </c>
      <c r="N139" t="s">
        <v>17</v>
      </c>
    </row>
    <row r="140" spans="1:14" hidden="1" x14ac:dyDescent="0.2">
      <c r="A140" t="s">
        <v>18</v>
      </c>
      <c r="B140" t="s">
        <v>19</v>
      </c>
      <c r="C140" s="2">
        <v>34330</v>
      </c>
      <c r="D140">
        <v>692735</v>
      </c>
      <c r="E140">
        <v>6209960</v>
      </c>
      <c r="F140">
        <v>1</v>
      </c>
      <c r="G140">
        <v>5</v>
      </c>
      <c r="H140">
        <v>20</v>
      </c>
      <c r="I140">
        <v>30</v>
      </c>
      <c r="J140" t="str">
        <f>_xlfn.TEXTJOIN("-",,H140,I140)</f>
        <v>20-30</v>
      </c>
      <c r="K140" t="s">
        <v>30</v>
      </c>
      <c r="L140" t="s">
        <v>16</v>
      </c>
      <c r="M140" s="3">
        <v>1.0000000474974499E-2</v>
      </c>
      <c r="N140" t="s">
        <v>17</v>
      </c>
    </row>
    <row r="141" spans="1:14" hidden="1" x14ac:dyDescent="0.2">
      <c r="A141" t="s">
        <v>13</v>
      </c>
      <c r="B141" t="s">
        <v>14</v>
      </c>
      <c r="C141" s="2">
        <v>35745</v>
      </c>
      <c r="D141">
        <v>695956</v>
      </c>
      <c r="E141">
        <v>6208568</v>
      </c>
      <c r="F141">
        <v>1</v>
      </c>
      <c r="G141">
        <v>5</v>
      </c>
      <c r="H141">
        <v>20</v>
      </c>
      <c r="I141">
        <v>30</v>
      </c>
      <c r="J141" t="str">
        <f>_xlfn.TEXTJOIN("-",,H141,I141)</f>
        <v>20-30</v>
      </c>
      <c r="K141" t="s">
        <v>24</v>
      </c>
      <c r="L141" t="s">
        <v>16</v>
      </c>
      <c r="M141" s="3">
        <v>18.840000894852</v>
      </c>
      <c r="N141" t="s">
        <v>17</v>
      </c>
    </row>
    <row r="142" spans="1:14" hidden="1" x14ac:dyDescent="0.2">
      <c r="A142" t="s">
        <v>18</v>
      </c>
      <c r="B142" t="s">
        <v>19</v>
      </c>
      <c r="C142" s="2">
        <v>34330</v>
      </c>
      <c r="D142">
        <v>692735</v>
      </c>
      <c r="E142">
        <v>6209960</v>
      </c>
      <c r="F142">
        <v>1</v>
      </c>
      <c r="G142">
        <v>6</v>
      </c>
      <c r="H142">
        <v>30</v>
      </c>
      <c r="I142">
        <v>38</v>
      </c>
      <c r="J142" t="str">
        <f>_xlfn.TEXTJOIN("-",,H142,I142)</f>
        <v>30-38</v>
      </c>
      <c r="K142" t="s">
        <v>30</v>
      </c>
      <c r="L142" t="s">
        <v>16</v>
      </c>
      <c r="M142" s="3">
        <v>1.9000000902451599E-2</v>
      </c>
      <c r="N142" t="s">
        <v>17</v>
      </c>
    </row>
    <row r="143" spans="1:14" hidden="1" x14ac:dyDescent="0.2">
      <c r="A143" t="s">
        <v>18</v>
      </c>
      <c r="B143" t="s">
        <v>19</v>
      </c>
      <c r="C143" s="2">
        <v>34330</v>
      </c>
      <c r="D143">
        <v>692735</v>
      </c>
      <c r="E143">
        <v>6209960</v>
      </c>
      <c r="F143">
        <v>1</v>
      </c>
      <c r="G143">
        <v>2</v>
      </c>
      <c r="H143">
        <v>2</v>
      </c>
      <c r="I143">
        <v>5</v>
      </c>
      <c r="J143" t="str">
        <f>_xlfn.TEXTJOIN("-",,H143,I143)</f>
        <v>2-5</v>
      </c>
      <c r="K143" t="s">
        <v>29</v>
      </c>
      <c r="L143" t="s">
        <v>16</v>
      </c>
      <c r="M143" s="3">
        <v>2.40000011399388E-2</v>
      </c>
      <c r="N143" t="s">
        <v>17</v>
      </c>
    </row>
    <row r="144" spans="1:14" hidden="1" x14ac:dyDescent="0.2">
      <c r="A144" t="s">
        <v>18</v>
      </c>
      <c r="B144" t="s">
        <v>19</v>
      </c>
      <c r="C144" s="2">
        <v>34330</v>
      </c>
      <c r="D144">
        <v>692735</v>
      </c>
      <c r="E144">
        <v>6209960</v>
      </c>
      <c r="F144">
        <v>2</v>
      </c>
      <c r="G144">
        <v>6</v>
      </c>
      <c r="H144">
        <v>30</v>
      </c>
      <c r="I144">
        <v>38</v>
      </c>
      <c r="J144" t="str">
        <f>_xlfn.TEXTJOIN("-",,H144,I144)</f>
        <v>30-38</v>
      </c>
      <c r="K144" t="s">
        <v>25</v>
      </c>
      <c r="L144" t="s">
        <v>16</v>
      </c>
      <c r="M144" s="3">
        <v>22.8000003397465</v>
      </c>
      <c r="N144" t="s">
        <v>26</v>
      </c>
    </row>
    <row r="145" spans="1:14" hidden="1" x14ac:dyDescent="0.2">
      <c r="A145" t="s">
        <v>18</v>
      </c>
      <c r="B145" t="s">
        <v>19</v>
      </c>
      <c r="C145" s="2">
        <v>34330</v>
      </c>
      <c r="D145">
        <v>692735</v>
      </c>
      <c r="E145">
        <v>6209960</v>
      </c>
      <c r="F145">
        <v>2</v>
      </c>
      <c r="G145">
        <v>1</v>
      </c>
      <c r="H145">
        <v>0</v>
      </c>
      <c r="I145">
        <v>2</v>
      </c>
      <c r="J145" t="str">
        <f>_xlfn.TEXTJOIN("-",,H145,I145)</f>
        <v>0-2</v>
      </c>
      <c r="K145" t="s">
        <v>29</v>
      </c>
      <c r="L145" t="s">
        <v>16</v>
      </c>
      <c r="M145" s="3">
        <v>2.9000001377426102E-2</v>
      </c>
      <c r="N145" t="s">
        <v>17</v>
      </c>
    </row>
    <row r="146" spans="1:14" hidden="1" x14ac:dyDescent="0.2">
      <c r="A146" t="s">
        <v>18</v>
      </c>
      <c r="B146" t="s">
        <v>19</v>
      </c>
      <c r="C146" s="2">
        <v>34330</v>
      </c>
      <c r="D146">
        <v>692735</v>
      </c>
      <c r="E146">
        <v>6209960</v>
      </c>
      <c r="F146">
        <v>2</v>
      </c>
      <c r="G146">
        <v>6</v>
      </c>
      <c r="H146">
        <v>30</v>
      </c>
      <c r="I146">
        <v>38</v>
      </c>
      <c r="J146" t="str">
        <f>_xlfn.TEXTJOIN("-",,H146,I146)</f>
        <v>30-38</v>
      </c>
      <c r="K146" t="s">
        <v>31</v>
      </c>
      <c r="L146" t="s">
        <v>16</v>
      </c>
      <c r="M146" s="3">
        <v>0.27400001301430199</v>
      </c>
      <c r="N146" t="s">
        <v>17</v>
      </c>
    </row>
    <row r="147" spans="1:14" hidden="1" x14ac:dyDescent="0.2">
      <c r="A147" t="s">
        <v>18</v>
      </c>
      <c r="B147" t="s">
        <v>19</v>
      </c>
      <c r="C147" s="2">
        <v>34330</v>
      </c>
      <c r="D147">
        <v>692735</v>
      </c>
      <c r="E147">
        <v>6209960</v>
      </c>
      <c r="F147">
        <v>1</v>
      </c>
      <c r="G147">
        <v>6</v>
      </c>
      <c r="H147">
        <v>30</v>
      </c>
      <c r="I147">
        <v>38</v>
      </c>
      <c r="J147" t="str">
        <f>_xlfn.TEXTJOIN("-",,H147,I147)</f>
        <v>30-38</v>
      </c>
      <c r="K147" t="s">
        <v>28</v>
      </c>
      <c r="L147" t="s">
        <v>16</v>
      </c>
      <c r="M147" s="3">
        <v>0.190000009024516</v>
      </c>
      <c r="N147" t="s">
        <v>17</v>
      </c>
    </row>
    <row r="148" spans="1:14" hidden="1" x14ac:dyDescent="0.2">
      <c r="A148" t="s">
        <v>18</v>
      </c>
      <c r="B148" t="s">
        <v>19</v>
      </c>
      <c r="C148" s="2">
        <v>34330</v>
      </c>
      <c r="D148">
        <v>692735</v>
      </c>
      <c r="E148">
        <v>6209960</v>
      </c>
      <c r="F148">
        <v>2</v>
      </c>
      <c r="G148">
        <v>4</v>
      </c>
      <c r="H148">
        <v>10</v>
      </c>
      <c r="I148">
        <v>20</v>
      </c>
      <c r="J148" t="str">
        <f>_xlfn.TEXTJOIN("-",,H148,I148)</f>
        <v>10-20</v>
      </c>
      <c r="K148" t="s">
        <v>20</v>
      </c>
      <c r="L148" t="s">
        <v>16</v>
      </c>
      <c r="M148" s="3">
        <v>57.000002707354703</v>
      </c>
      <c r="N148" t="s">
        <v>17</v>
      </c>
    </row>
    <row r="149" spans="1:14" hidden="1" x14ac:dyDescent="0.2">
      <c r="A149" t="s">
        <v>18</v>
      </c>
      <c r="B149" t="s">
        <v>19</v>
      </c>
      <c r="C149" s="2">
        <v>34330</v>
      </c>
      <c r="D149">
        <v>692735</v>
      </c>
      <c r="E149">
        <v>6209960</v>
      </c>
      <c r="F149">
        <v>2</v>
      </c>
      <c r="G149">
        <v>1</v>
      </c>
      <c r="H149">
        <v>0</v>
      </c>
      <c r="I149">
        <v>2</v>
      </c>
      <c r="J149" t="str">
        <f>_xlfn.TEXTJOIN("-",,H149,I149)</f>
        <v>0-2</v>
      </c>
      <c r="K149" t="s">
        <v>28</v>
      </c>
      <c r="L149" t="s">
        <v>16</v>
      </c>
      <c r="M149" s="3">
        <v>0.223000010591932</v>
      </c>
      <c r="N149" t="s">
        <v>17</v>
      </c>
    </row>
    <row r="150" spans="1:14" hidden="1" x14ac:dyDescent="0.2">
      <c r="A150" t="s">
        <v>21</v>
      </c>
      <c r="B150" t="s">
        <v>14</v>
      </c>
      <c r="C150" s="2">
        <v>34330</v>
      </c>
      <c r="D150">
        <v>694929</v>
      </c>
      <c r="E150">
        <v>6209746</v>
      </c>
      <c r="F150">
        <v>1</v>
      </c>
      <c r="G150">
        <v>2</v>
      </c>
      <c r="H150">
        <v>2</v>
      </c>
      <c r="I150">
        <v>5</v>
      </c>
      <c r="J150" t="str">
        <f>_xlfn.TEXTJOIN("-",,H150,I150)</f>
        <v>2-5</v>
      </c>
      <c r="K150" t="s">
        <v>28</v>
      </c>
      <c r="L150" t="s">
        <v>16</v>
      </c>
      <c r="M150" s="3">
        <v>0.178000008454546</v>
      </c>
      <c r="N150" t="s">
        <v>17</v>
      </c>
    </row>
    <row r="151" spans="1:14" hidden="1" x14ac:dyDescent="0.2">
      <c r="A151" t="s">
        <v>21</v>
      </c>
      <c r="B151" t="s">
        <v>14</v>
      </c>
      <c r="C151" s="2">
        <v>34330</v>
      </c>
      <c r="D151">
        <v>694929</v>
      </c>
      <c r="E151">
        <v>6209746</v>
      </c>
      <c r="F151">
        <v>1</v>
      </c>
      <c r="G151">
        <v>3</v>
      </c>
      <c r="H151">
        <v>5</v>
      </c>
      <c r="I151">
        <v>8</v>
      </c>
      <c r="J151" t="str">
        <f>_xlfn.TEXTJOIN("-",,H151,I151)</f>
        <v>5-8</v>
      </c>
      <c r="K151" t="s">
        <v>25</v>
      </c>
      <c r="L151" t="s">
        <v>16</v>
      </c>
      <c r="M151" s="3">
        <v>1.0800000160932499</v>
      </c>
      <c r="N151" t="s">
        <v>26</v>
      </c>
    </row>
    <row r="152" spans="1:14" x14ac:dyDescent="0.2">
      <c r="A152" t="s">
        <v>18</v>
      </c>
      <c r="B152" t="s">
        <v>19</v>
      </c>
      <c r="C152" s="2">
        <v>35745</v>
      </c>
      <c r="D152">
        <v>692735</v>
      </c>
      <c r="E152">
        <v>6209960</v>
      </c>
      <c r="F152">
        <v>1</v>
      </c>
      <c r="G152">
        <v>1</v>
      </c>
      <c r="H152">
        <v>0</v>
      </c>
      <c r="I152">
        <v>2</v>
      </c>
      <c r="J152" t="str">
        <f>_xlfn.TEXTJOIN("-",,H152,I152)</f>
        <v>0-2</v>
      </c>
      <c r="K152" t="s">
        <v>27</v>
      </c>
      <c r="L152" t="s">
        <v>16</v>
      </c>
      <c r="M152" s="3">
        <v>2.10000009974465</v>
      </c>
      <c r="N152" t="s">
        <v>17</v>
      </c>
    </row>
    <row r="153" spans="1:14" hidden="1" x14ac:dyDescent="0.2">
      <c r="A153" t="s">
        <v>21</v>
      </c>
      <c r="B153" t="s">
        <v>14</v>
      </c>
      <c r="C153" s="2">
        <v>34330</v>
      </c>
      <c r="D153">
        <v>694929</v>
      </c>
      <c r="E153">
        <v>6209746</v>
      </c>
      <c r="F153">
        <v>1</v>
      </c>
      <c r="G153">
        <v>1</v>
      </c>
      <c r="H153">
        <v>0</v>
      </c>
      <c r="I153">
        <v>2</v>
      </c>
      <c r="J153" t="str">
        <f>_xlfn.TEXTJOIN("-",,H153,I153)</f>
        <v>0-2</v>
      </c>
      <c r="K153" t="s">
        <v>25</v>
      </c>
      <c r="L153" t="s">
        <v>16</v>
      </c>
      <c r="M153" s="3">
        <v>7.5300001122057401</v>
      </c>
      <c r="N153" t="s">
        <v>26</v>
      </c>
    </row>
    <row r="154" spans="1:14" hidden="1" x14ac:dyDescent="0.2">
      <c r="A154" t="s">
        <v>21</v>
      </c>
      <c r="B154" t="s">
        <v>14</v>
      </c>
      <c r="C154" s="2">
        <v>34330</v>
      </c>
      <c r="D154">
        <v>694929</v>
      </c>
      <c r="E154">
        <v>6209746</v>
      </c>
      <c r="F154">
        <v>1</v>
      </c>
      <c r="G154">
        <v>1</v>
      </c>
      <c r="H154">
        <v>0</v>
      </c>
      <c r="I154">
        <v>2</v>
      </c>
      <c r="J154" t="str">
        <f>_xlfn.TEXTJOIN("-",,H154,I154)</f>
        <v>0-2</v>
      </c>
      <c r="K154" t="s">
        <v>20</v>
      </c>
      <c r="L154" t="s">
        <v>16</v>
      </c>
      <c r="M154" s="3">
        <v>20.000000949949001</v>
      </c>
      <c r="N154" t="s">
        <v>17</v>
      </c>
    </row>
    <row r="155" spans="1:14" hidden="1" x14ac:dyDescent="0.2">
      <c r="A155" t="s">
        <v>18</v>
      </c>
      <c r="B155" t="s">
        <v>19</v>
      </c>
      <c r="C155" s="2">
        <v>34330</v>
      </c>
      <c r="D155">
        <v>692735</v>
      </c>
      <c r="E155">
        <v>6209960</v>
      </c>
      <c r="F155">
        <v>1</v>
      </c>
      <c r="G155">
        <v>2</v>
      </c>
      <c r="H155">
        <v>2</v>
      </c>
      <c r="I155">
        <v>5</v>
      </c>
      <c r="J155" t="str">
        <f>_xlfn.TEXTJOIN("-",,H155,I155)</f>
        <v>2-5</v>
      </c>
      <c r="K155" t="s">
        <v>30</v>
      </c>
      <c r="L155" t="s">
        <v>16</v>
      </c>
      <c r="M155" s="3">
        <v>2.8000001329928598E-2</v>
      </c>
      <c r="N155" t="s">
        <v>17</v>
      </c>
    </row>
    <row r="156" spans="1:14" hidden="1" x14ac:dyDescent="0.2">
      <c r="A156" t="s">
        <v>21</v>
      </c>
      <c r="B156" t="s">
        <v>14</v>
      </c>
      <c r="C156" s="2">
        <v>34330</v>
      </c>
      <c r="D156">
        <v>694929</v>
      </c>
      <c r="E156">
        <v>6209746</v>
      </c>
      <c r="F156">
        <v>1</v>
      </c>
      <c r="G156">
        <v>3</v>
      </c>
      <c r="H156">
        <v>5</v>
      </c>
      <c r="I156">
        <v>8</v>
      </c>
      <c r="J156" t="str">
        <f>_xlfn.TEXTJOIN("-",,H156,I156)</f>
        <v>5-8</v>
      </c>
      <c r="K156" t="s">
        <v>32</v>
      </c>
      <c r="L156" t="s">
        <v>16</v>
      </c>
      <c r="M156" s="3">
        <v>1.0000000474974499E-2</v>
      </c>
      <c r="N156" t="s">
        <v>17</v>
      </c>
    </row>
    <row r="157" spans="1:14" hidden="1" x14ac:dyDescent="0.2">
      <c r="A157" t="s">
        <v>18</v>
      </c>
      <c r="B157" t="s">
        <v>19</v>
      </c>
      <c r="C157" s="2">
        <v>35745</v>
      </c>
      <c r="D157">
        <v>692735</v>
      </c>
      <c r="E157">
        <v>6209960</v>
      </c>
      <c r="F157">
        <v>1</v>
      </c>
      <c r="G157">
        <v>6</v>
      </c>
      <c r="H157">
        <v>30</v>
      </c>
      <c r="I157">
        <v>43</v>
      </c>
      <c r="J157" t="str">
        <f>_xlfn.TEXTJOIN("-",,H157,I157)</f>
        <v>30-43</v>
      </c>
      <c r="K157" t="s">
        <v>24</v>
      </c>
      <c r="L157" t="s">
        <v>16</v>
      </c>
      <c r="M157" s="3">
        <v>9.2200004379264993</v>
      </c>
      <c r="N157" t="s">
        <v>17</v>
      </c>
    </row>
    <row r="158" spans="1:14" hidden="1" x14ac:dyDescent="0.2">
      <c r="A158" t="s">
        <v>18</v>
      </c>
      <c r="B158" t="s">
        <v>19</v>
      </c>
      <c r="C158" s="2">
        <v>34330</v>
      </c>
      <c r="D158">
        <v>692735</v>
      </c>
      <c r="E158">
        <v>6209960</v>
      </c>
      <c r="F158">
        <v>1</v>
      </c>
      <c r="G158">
        <v>3</v>
      </c>
      <c r="H158">
        <v>5</v>
      </c>
      <c r="I158">
        <v>10</v>
      </c>
      <c r="J158" t="str">
        <f>_xlfn.TEXTJOIN("-",,H158,I158)</f>
        <v>5-10</v>
      </c>
      <c r="K158" t="s">
        <v>32</v>
      </c>
      <c r="L158" t="s">
        <v>16</v>
      </c>
      <c r="M158" s="3">
        <v>7.4000003514811397E-2</v>
      </c>
      <c r="N158" t="s">
        <v>17</v>
      </c>
    </row>
    <row r="159" spans="1:14" hidden="1" x14ac:dyDescent="0.2">
      <c r="A159" t="s">
        <v>18</v>
      </c>
      <c r="B159" t="s">
        <v>19</v>
      </c>
      <c r="C159" s="2">
        <v>34330</v>
      </c>
      <c r="D159">
        <v>692735</v>
      </c>
      <c r="E159">
        <v>6209960</v>
      </c>
      <c r="F159">
        <v>2</v>
      </c>
      <c r="G159">
        <v>5</v>
      </c>
      <c r="H159">
        <v>20</v>
      </c>
      <c r="I159">
        <v>30</v>
      </c>
      <c r="J159" t="str">
        <f>_xlfn.TEXTJOIN("-",,H159,I159)</f>
        <v>20-30</v>
      </c>
      <c r="K159" t="s">
        <v>25</v>
      </c>
      <c r="L159" t="s">
        <v>16</v>
      </c>
      <c r="M159" s="3">
        <v>26.200000390410398</v>
      </c>
      <c r="N159" t="s">
        <v>26</v>
      </c>
    </row>
    <row r="160" spans="1:14" hidden="1" x14ac:dyDescent="0.2">
      <c r="A160" t="s">
        <v>18</v>
      </c>
      <c r="B160" t="s">
        <v>19</v>
      </c>
      <c r="C160" s="2">
        <v>34330</v>
      </c>
      <c r="D160">
        <v>692735</v>
      </c>
      <c r="E160">
        <v>6209960</v>
      </c>
      <c r="F160">
        <v>1</v>
      </c>
      <c r="G160">
        <v>6</v>
      </c>
      <c r="H160">
        <v>30</v>
      </c>
      <c r="I160">
        <v>38</v>
      </c>
      <c r="J160" t="str">
        <f>_xlfn.TEXTJOIN("-",,H160,I160)</f>
        <v>30-38</v>
      </c>
      <c r="K160" t="s">
        <v>15</v>
      </c>
      <c r="L160" t="s">
        <v>16</v>
      </c>
      <c r="M160" s="3">
        <v>18.000000854954099</v>
      </c>
      <c r="N160" t="s">
        <v>17</v>
      </c>
    </row>
    <row r="161" spans="1:14" x14ac:dyDescent="0.2">
      <c r="A161" t="s">
        <v>21</v>
      </c>
      <c r="B161" t="s">
        <v>14</v>
      </c>
      <c r="C161" s="2">
        <v>35745</v>
      </c>
      <c r="D161">
        <v>694929</v>
      </c>
      <c r="E161">
        <v>6209746</v>
      </c>
      <c r="F161">
        <v>1</v>
      </c>
      <c r="G161">
        <v>1</v>
      </c>
      <c r="H161">
        <v>0</v>
      </c>
      <c r="I161">
        <v>2</v>
      </c>
      <c r="J161" t="str">
        <f>_xlfn.TEXTJOIN("-",,H161,I161)</f>
        <v>0-2</v>
      </c>
      <c r="K161" t="s">
        <v>27</v>
      </c>
      <c r="L161" t="s">
        <v>16</v>
      </c>
      <c r="M161" s="3">
        <v>2.0400000968948002</v>
      </c>
      <c r="N161" t="s">
        <v>17</v>
      </c>
    </row>
    <row r="162" spans="1:14" x14ac:dyDescent="0.2">
      <c r="A162" t="s">
        <v>13</v>
      </c>
      <c r="B162" t="s">
        <v>14</v>
      </c>
      <c r="C162" s="2">
        <v>37565</v>
      </c>
      <c r="D162">
        <v>695956</v>
      </c>
      <c r="E162">
        <v>6208568</v>
      </c>
      <c r="F162">
        <v>1</v>
      </c>
      <c r="G162">
        <v>1</v>
      </c>
      <c r="H162">
        <v>0</v>
      </c>
      <c r="I162">
        <v>2</v>
      </c>
      <c r="J162" t="str">
        <f>_xlfn.TEXTJOIN("-",,H162,I162)</f>
        <v>0-2</v>
      </c>
      <c r="K162" t="s">
        <v>27</v>
      </c>
      <c r="L162" t="s">
        <v>16</v>
      </c>
      <c r="M162" s="3">
        <v>1.1800000560469901</v>
      </c>
      <c r="N162" t="s">
        <v>17</v>
      </c>
    </row>
    <row r="163" spans="1:14" hidden="1" x14ac:dyDescent="0.2">
      <c r="A163" t="s">
        <v>18</v>
      </c>
      <c r="B163" t="s">
        <v>19</v>
      </c>
      <c r="C163" s="2">
        <v>34330</v>
      </c>
      <c r="D163">
        <v>692735</v>
      </c>
      <c r="E163">
        <v>6209960</v>
      </c>
      <c r="F163">
        <v>2</v>
      </c>
      <c r="G163">
        <v>4</v>
      </c>
      <c r="H163">
        <v>10</v>
      </c>
      <c r="I163">
        <v>20</v>
      </c>
      <c r="J163" t="str">
        <f>_xlfn.TEXTJOIN("-",,H163,I163)</f>
        <v>10-20</v>
      </c>
      <c r="K163" t="s">
        <v>22</v>
      </c>
      <c r="L163" t="s">
        <v>16</v>
      </c>
      <c r="M163" s="3">
        <v>15.700000233948201</v>
      </c>
      <c r="N163" t="s">
        <v>23</v>
      </c>
    </row>
    <row r="164" spans="1:14" hidden="1" x14ac:dyDescent="0.2">
      <c r="A164" t="s">
        <v>18</v>
      </c>
      <c r="B164" t="s">
        <v>19</v>
      </c>
      <c r="C164" s="2">
        <v>34330</v>
      </c>
      <c r="D164">
        <v>692735</v>
      </c>
      <c r="E164">
        <v>6209960</v>
      </c>
      <c r="F164">
        <v>2</v>
      </c>
      <c r="G164">
        <v>1</v>
      </c>
      <c r="H164">
        <v>0</v>
      </c>
      <c r="I164">
        <v>2</v>
      </c>
      <c r="J164" t="str">
        <f>_xlfn.TEXTJOIN("-",,H164,I164)</f>
        <v>0-2</v>
      </c>
      <c r="K164" t="s">
        <v>32</v>
      </c>
      <c r="L164" t="s">
        <v>16</v>
      </c>
      <c r="M164" s="3">
        <v>3.6000001709908198E-2</v>
      </c>
      <c r="N164" t="s">
        <v>17</v>
      </c>
    </row>
    <row r="165" spans="1:14" hidden="1" x14ac:dyDescent="0.2">
      <c r="A165" t="s">
        <v>18</v>
      </c>
      <c r="B165" t="s">
        <v>19</v>
      </c>
      <c r="C165" s="2">
        <v>34330</v>
      </c>
      <c r="D165">
        <v>692735</v>
      </c>
      <c r="E165">
        <v>6209960</v>
      </c>
      <c r="F165">
        <v>2</v>
      </c>
      <c r="G165">
        <v>3</v>
      </c>
      <c r="H165">
        <v>5</v>
      </c>
      <c r="I165">
        <v>10</v>
      </c>
      <c r="J165" t="str">
        <f>_xlfn.TEXTJOIN("-",,H165,I165)</f>
        <v>5-10</v>
      </c>
      <c r="K165" t="s">
        <v>32</v>
      </c>
      <c r="L165" t="s">
        <v>16</v>
      </c>
      <c r="M165" s="3">
        <v>9.0000004274770604E-2</v>
      </c>
      <c r="N165" t="s">
        <v>17</v>
      </c>
    </row>
    <row r="166" spans="1:14" hidden="1" x14ac:dyDescent="0.2">
      <c r="A166" t="s">
        <v>18</v>
      </c>
      <c r="B166" t="s">
        <v>19</v>
      </c>
      <c r="C166" s="2">
        <v>34330</v>
      </c>
      <c r="D166">
        <v>692735</v>
      </c>
      <c r="E166">
        <v>6209960</v>
      </c>
      <c r="F166">
        <v>1</v>
      </c>
      <c r="G166">
        <v>1</v>
      </c>
      <c r="H166">
        <v>0</v>
      </c>
      <c r="I166">
        <v>2</v>
      </c>
      <c r="J166" t="str">
        <f>_xlfn.TEXTJOIN("-",,H166,I166)</f>
        <v>0-2</v>
      </c>
      <c r="K166" t="s">
        <v>30</v>
      </c>
      <c r="L166" t="s">
        <v>16</v>
      </c>
      <c r="M166" s="3">
        <v>5.1000002422370003E-2</v>
      </c>
      <c r="N166" t="s">
        <v>17</v>
      </c>
    </row>
    <row r="167" spans="1:14" hidden="1" x14ac:dyDescent="0.2">
      <c r="A167" t="s">
        <v>13</v>
      </c>
      <c r="B167" t="s">
        <v>14</v>
      </c>
      <c r="C167" s="2">
        <v>35745</v>
      </c>
      <c r="D167">
        <v>695956</v>
      </c>
      <c r="E167">
        <v>6208568</v>
      </c>
      <c r="F167">
        <v>1</v>
      </c>
      <c r="G167">
        <v>5</v>
      </c>
      <c r="H167">
        <v>20</v>
      </c>
      <c r="I167">
        <v>30</v>
      </c>
      <c r="J167" t="str">
        <f>_xlfn.TEXTJOIN("-",,H167,I167)</f>
        <v>20-30</v>
      </c>
      <c r="K167" t="s">
        <v>15</v>
      </c>
      <c r="L167" t="s">
        <v>16</v>
      </c>
      <c r="M167" s="3">
        <v>12.0820005738642</v>
      </c>
      <c r="N167" t="s">
        <v>17</v>
      </c>
    </row>
    <row r="168" spans="1:14" x14ac:dyDescent="0.2">
      <c r="A168" t="s">
        <v>18</v>
      </c>
      <c r="B168" t="s">
        <v>19</v>
      </c>
      <c r="C168" s="2">
        <v>37565</v>
      </c>
      <c r="D168">
        <v>692735</v>
      </c>
      <c r="E168">
        <v>6209960</v>
      </c>
      <c r="F168">
        <v>1</v>
      </c>
      <c r="G168">
        <v>1</v>
      </c>
      <c r="H168">
        <v>0</v>
      </c>
      <c r="I168">
        <v>2</v>
      </c>
      <c r="J168" t="str">
        <f>_xlfn.TEXTJOIN("-",,H168,I168)</f>
        <v>0-2</v>
      </c>
      <c r="K168" t="s">
        <v>27</v>
      </c>
      <c r="L168" t="s">
        <v>16</v>
      </c>
      <c r="M168" s="3">
        <v>1.20000005699694</v>
      </c>
      <c r="N168" t="s">
        <v>17</v>
      </c>
    </row>
    <row r="169" spans="1:14" hidden="1" x14ac:dyDescent="0.2">
      <c r="A169" t="s">
        <v>21</v>
      </c>
      <c r="B169" t="s">
        <v>14</v>
      </c>
      <c r="C169" s="2">
        <v>35745</v>
      </c>
      <c r="D169">
        <v>694929</v>
      </c>
      <c r="E169">
        <v>6209746</v>
      </c>
      <c r="F169">
        <v>1</v>
      </c>
      <c r="G169">
        <v>6</v>
      </c>
      <c r="H169">
        <v>30</v>
      </c>
      <c r="I169">
        <v>39</v>
      </c>
      <c r="J169" t="str">
        <f>_xlfn.TEXTJOIN("-",,H169,I169)</f>
        <v>30-39</v>
      </c>
      <c r="K169" t="s">
        <v>22</v>
      </c>
      <c r="L169" t="s">
        <v>16</v>
      </c>
      <c r="M169" s="3">
        <v>12</v>
      </c>
      <c r="N169" t="s">
        <v>23</v>
      </c>
    </row>
    <row r="170" spans="1:14" x14ac:dyDescent="0.2">
      <c r="A170" t="s">
        <v>21</v>
      </c>
      <c r="B170" t="s">
        <v>14</v>
      </c>
      <c r="C170" s="2">
        <v>37565</v>
      </c>
      <c r="D170">
        <v>694929</v>
      </c>
      <c r="E170">
        <v>6209746</v>
      </c>
      <c r="F170">
        <v>1</v>
      </c>
      <c r="G170">
        <v>1</v>
      </c>
      <c r="H170">
        <v>0</v>
      </c>
      <c r="I170">
        <v>2</v>
      </c>
      <c r="J170" t="str">
        <f>_xlfn.TEXTJOIN("-",,H170,I170)</f>
        <v>0-2</v>
      </c>
      <c r="K170" t="s">
        <v>27</v>
      </c>
      <c r="L170" t="s">
        <v>16</v>
      </c>
      <c r="M170" s="3">
        <v>1.46000006934628</v>
      </c>
      <c r="N170" t="s">
        <v>17</v>
      </c>
    </row>
    <row r="171" spans="1:14" hidden="1" x14ac:dyDescent="0.2">
      <c r="A171" t="s">
        <v>21</v>
      </c>
      <c r="B171" t="s">
        <v>14</v>
      </c>
      <c r="C171" s="2">
        <v>35745</v>
      </c>
      <c r="D171">
        <v>694929</v>
      </c>
      <c r="E171">
        <v>6209746</v>
      </c>
      <c r="F171">
        <v>1</v>
      </c>
      <c r="G171">
        <v>2</v>
      </c>
      <c r="H171">
        <v>2</v>
      </c>
      <c r="I171">
        <v>5</v>
      </c>
      <c r="J171" t="str">
        <f>_xlfn.TEXTJOIN("-",,H171,I171)</f>
        <v>2-5</v>
      </c>
      <c r="K171" t="s">
        <v>22</v>
      </c>
      <c r="L171" t="s">
        <v>16</v>
      </c>
      <c r="M171" s="3">
        <v>5.2</v>
      </c>
      <c r="N171" t="s">
        <v>23</v>
      </c>
    </row>
    <row r="172" spans="1:14" hidden="1" x14ac:dyDescent="0.2">
      <c r="A172" t="s">
        <v>13</v>
      </c>
      <c r="B172" t="s">
        <v>14</v>
      </c>
      <c r="C172" s="2">
        <v>35745</v>
      </c>
      <c r="D172">
        <v>695956</v>
      </c>
      <c r="E172">
        <v>6208568</v>
      </c>
      <c r="F172">
        <v>1</v>
      </c>
      <c r="G172">
        <v>6</v>
      </c>
      <c r="H172">
        <v>30</v>
      </c>
      <c r="I172">
        <v>41</v>
      </c>
      <c r="J172" t="str">
        <f>_xlfn.TEXTJOIN("-",,H172,I172)</f>
        <v>30-41</v>
      </c>
      <c r="K172" t="s">
        <v>20</v>
      </c>
      <c r="L172" t="s">
        <v>16</v>
      </c>
      <c r="M172" s="3">
        <v>120.000005699694</v>
      </c>
      <c r="N172" t="s">
        <v>17</v>
      </c>
    </row>
    <row r="173" spans="1:14" hidden="1" x14ac:dyDescent="0.2">
      <c r="A173" t="s">
        <v>21</v>
      </c>
      <c r="B173" t="s">
        <v>14</v>
      </c>
      <c r="C173" s="2">
        <v>35745</v>
      </c>
      <c r="D173">
        <v>694929</v>
      </c>
      <c r="E173">
        <v>6209746</v>
      </c>
      <c r="F173">
        <v>1</v>
      </c>
      <c r="G173">
        <v>3</v>
      </c>
      <c r="H173">
        <v>5</v>
      </c>
      <c r="I173">
        <v>10</v>
      </c>
      <c r="J173" t="str">
        <f>_xlfn.TEXTJOIN("-",,H173,I173)</f>
        <v>5-10</v>
      </c>
      <c r="K173" t="s">
        <v>20</v>
      </c>
      <c r="L173" t="s">
        <v>16</v>
      </c>
      <c r="M173" s="3">
        <v>180.00000854954101</v>
      </c>
      <c r="N173" t="s">
        <v>17</v>
      </c>
    </row>
    <row r="174" spans="1:14" hidden="1" x14ac:dyDescent="0.2">
      <c r="A174" t="s">
        <v>21</v>
      </c>
      <c r="B174" t="s">
        <v>14</v>
      </c>
      <c r="C174" s="2">
        <v>35745</v>
      </c>
      <c r="D174">
        <v>694929</v>
      </c>
      <c r="E174">
        <v>6209746</v>
      </c>
      <c r="F174">
        <v>1</v>
      </c>
      <c r="G174">
        <v>5</v>
      </c>
      <c r="H174">
        <v>20</v>
      </c>
      <c r="I174">
        <v>30</v>
      </c>
      <c r="J174" t="str">
        <f>_xlfn.TEXTJOIN("-",,H174,I174)</f>
        <v>20-30</v>
      </c>
      <c r="K174" t="s">
        <v>24</v>
      </c>
      <c r="L174" t="s">
        <v>16</v>
      </c>
      <c r="M174" s="3">
        <v>17.350000824080801</v>
      </c>
      <c r="N174" t="s">
        <v>17</v>
      </c>
    </row>
    <row r="175" spans="1:14" x14ac:dyDescent="0.2">
      <c r="A175" t="s">
        <v>21</v>
      </c>
      <c r="B175" t="s">
        <v>14</v>
      </c>
      <c r="C175" s="2">
        <v>40128</v>
      </c>
      <c r="D175">
        <v>694929</v>
      </c>
      <c r="E175">
        <v>6209746</v>
      </c>
      <c r="F175">
        <v>1</v>
      </c>
      <c r="G175">
        <v>1</v>
      </c>
      <c r="H175">
        <v>0</v>
      </c>
      <c r="I175">
        <v>2</v>
      </c>
      <c r="J175" t="str">
        <f>_xlfn.TEXTJOIN("-",,H175,I175)</f>
        <v>0-2</v>
      </c>
      <c r="K175" t="s">
        <v>27</v>
      </c>
      <c r="L175" t="s">
        <v>16</v>
      </c>
      <c r="M175" s="3">
        <v>1.6000000759959201</v>
      </c>
      <c r="N175" t="s">
        <v>17</v>
      </c>
    </row>
    <row r="176" spans="1:14" hidden="1" x14ac:dyDescent="0.2">
      <c r="A176" t="s">
        <v>21</v>
      </c>
      <c r="B176" t="s">
        <v>14</v>
      </c>
      <c r="C176" s="2">
        <v>35745</v>
      </c>
      <c r="D176">
        <v>694929</v>
      </c>
      <c r="E176">
        <v>6209746</v>
      </c>
      <c r="F176">
        <v>1</v>
      </c>
      <c r="G176">
        <v>4</v>
      </c>
      <c r="H176">
        <v>10</v>
      </c>
      <c r="I176">
        <v>20</v>
      </c>
      <c r="J176" t="str">
        <f>_xlfn.TEXTJOIN("-",,H176,I176)</f>
        <v>10-20</v>
      </c>
      <c r="K176" t="s">
        <v>20</v>
      </c>
      <c r="L176" t="s">
        <v>16</v>
      </c>
      <c r="M176" s="3">
        <v>180.00000854954101</v>
      </c>
      <c r="N176" t="s">
        <v>17</v>
      </c>
    </row>
    <row r="177" spans="1:14" x14ac:dyDescent="0.2">
      <c r="A177" t="s">
        <v>18</v>
      </c>
      <c r="B177" t="s">
        <v>19</v>
      </c>
      <c r="C177" s="2">
        <v>40128</v>
      </c>
      <c r="D177">
        <v>692735</v>
      </c>
      <c r="E177">
        <v>6209960</v>
      </c>
      <c r="F177">
        <v>1</v>
      </c>
      <c r="G177">
        <v>1</v>
      </c>
      <c r="H177">
        <v>0</v>
      </c>
      <c r="I177">
        <v>2</v>
      </c>
      <c r="J177" t="str">
        <f>_xlfn.TEXTJOIN("-",,H177,I177)</f>
        <v>0-2</v>
      </c>
      <c r="K177" t="s">
        <v>27</v>
      </c>
      <c r="L177" t="s">
        <v>16</v>
      </c>
      <c r="M177" s="3">
        <v>1.4100000669714099</v>
      </c>
      <c r="N177" t="s">
        <v>17</v>
      </c>
    </row>
    <row r="178" spans="1:14" hidden="1" x14ac:dyDescent="0.2">
      <c r="A178" t="s">
        <v>21</v>
      </c>
      <c r="B178" t="s">
        <v>14</v>
      </c>
      <c r="C178" s="2">
        <v>35745</v>
      </c>
      <c r="D178">
        <v>694929</v>
      </c>
      <c r="E178">
        <v>6209746</v>
      </c>
      <c r="F178">
        <v>1</v>
      </c>
      <c r="G178">
        <v>6</v>
      </c>
      <c r="H178">
        <v>30</v>
      </c>
      <c r="I178">
        <v>39</v>
      </c>
      <c r="J178" t="str">
        <f>_xlfn.TEXTJOIN("-",,H178,I178)</f>
        <v>30-39</v>
      </c>
      <c r="K178" t="s">
        <v>20</v>
      </c>
      <c r="L178" t="s">
        <v>16</v>
      </c>
      <c r="M178" s="3">
        <v>130.00000617466901</v>
      </c>
      <c r="N178" t="s">
        <v>17</v>
      </c>
    </row>
    <row r="179" spans="1:14" hidden="1" x14ac:dyDescent="0.2">
      <c r="A179" t="s">
        <v>18</v>
      </c>
      <c r="B179" t="s">
        <v>19</v>
      </c>
      <c r="C179" s="2">
        <v>35745</v>
      </c>
      <c r="D179">
        <v>692735</v>
      </c>
      <c r="E179">
        <v>6209960</v>
      </c>
      <c r="F179">
        <v>1</v>
      </c>
      <c r="G179">
        <v>1</v>
      </c>
      <c r="H179">
        <v>0</v>
      </c>
      <c r="I179">
        <v>2</v>
      </c>
      <c r="J179" t="str">
        <f>_xlfn.TEXTJOIN("-",,H179,I179)</f>
        <v>0-2</v>
      </c>
      <c r="K179" t="s">
        <v>15</v>
      </c>
      <c r="L179" t="s">
        <v>16</v>
      </c>
      <c r="M179" s="3">
        <v>6.8000003229826698</v>
      </c>
      <c r="N179" t="s">
        <v>17</v>
      </c>
    </row>
    <row r="180" spans="1:14" hidden="1" x14ac:dyDescent="0.2">
      <c r="A180" t="s">
        <v>13</v>
      </c>
      <c r="B180" t="s">
        <v>14</v>
      </c>
      <c r="C180" s="2">
        <v>35745</v>
      </c>
      <c r="D180">
        <v>695956</v>
      </c>
      <c r="E180">
        <v>6208568</v>
      </c>
      <c r="F180">
        <v>1</v>
      </c>
      <c r="G180">
        <v>1</v>
      </c>
      <c r="H180">
        <v>0</v>
      </c>
      <c r="I180">
        <v>2</v>
      </c>
      <c r="J180" t="str">
        <f>_xlfn.TEXTJOIN("-",,H180,I180)</f>
        <v>0-2</v>
      </c>
      <c r="K180" t="s">
        <v>22</v>
      </c>
      <c r="L180" t="s">
        <v>16</v>
      </c>
      <c r="M180" s="3">
        <v>3.4</v>
      </c>
      <c r="N180" t="s">
        <v>23</v>
      </c>
    </row>
    <row r="181" spans="1:14" x14ac:dyDescent="0.2">
      <c r="A181" t="s">
        <v>13</v>
      </c>
      <c r="B181" t="s">
        <v>14</v>
      </c>
      <c r="C181" s="2">
        <v>40128</v>
      </c>
      <c r="D181">
        <v>695956</v>
      </c>
      <c r="E181">
        <v>6208568</v>
      </c>
      <c r="F181">
        <v>1</v>
      </c>
      <c r="G181">
        <v>1</v>
      </c>
      <c r="H181">
        <v>0</v>
      </c>
      <c r="I181">
        <v>2</v>
      </c>
      <c r="J181" t="str">
        <f>_xlfn.TEXTJOIN("-",,H181,I181)</f>
        <v>0-2</v>
      </c>
      <c r="K181" t="s">
        <v>27</v>
      </c>
      <c r="L181" t="s">
        <v>16</v>
      </c>
      <c r="M181" s="3">
        <v>1.33000006317161</v>
      </c>
      <c r="N181" t="s">
        <v>17</v>
      </c>
    </row>
    <row r="182" spans="1:14" hidden="1" x14ac:dyDescent="0.2">
      <c r="A182" t="s">
        <v>13</v>
      </c>
      <c r="B182" t="s">
        <v>14</v>
      </c>
      <c r="C182" s="2">
        <v>35745</v>
      </c>
      <c r="D182">
        <v>695956</v>
      </c>
      <c r="E182">
        <v>6208568</v>
      </c>
      <c r="F182">
        <v>1</v>
      </c>
      <c r="G182">
        <v>3</v>
      </c>
      <c r="H182">
        <v>5</v>
      </c>
      <c r="I182">
        <v>10</v>
      </c>
      <c r="J182" t="str">
        <f>_xlfn.TEXTJOIN("-",,H182,I182)</f>
        <v>5-10</v>
      </c>
      <c r="K182" t="s">
        <v>20</v>
      </c>
      <c r="L182" t="s">
        <v>16</v>
      </c>
      <c r="M182" s="3">
        <v>149.807007115451</v>
      </c>
      <c r="N182" t="s">
        <v>17</v>
      </c>
    </row>
    <row r="183" spans="1:14" hidden="1" x14ac:dyDescent="0.2">
      <c r="A183" t="s">
        <v>13</v>
      </c>
      <c r="B183" t="s">
        <v>14</v>
      </c>
      <c r="C183" s="2">
        <v>37565</v>
      </c>
      <c r="D183">
        <v>695956</v>
      </c>
      <c r="E183">
        <v>6208568</v>
      </c>
      <c r="F183">
        <v>1</v>
      </c>
      <c r="G183">
        <v>5</v>
      </c>
      <c r="H183">
        <v>20</v>
      </c>
      <c r="I183">
        <v>30</v>
      </c>
      <c r="J183" t="str">
        <f>_xlfn.TEXTJOIN("-",,H183,I183)</f>
        <v>20-30</v>
      </c>
      <c r="K183" t="s">
        <v>24</v>
      </c>
      <c r="L183" t="s">
        <v>16</v>
      </c>
      <c r="M183" s="3">
        <v>1.17000005557202</v>
      </c>
      <c r="N183" t="s">
        <v>17</v>
      </c>
    </row>
    <row r="184" spans="1:14" hidden="1" x14ac:dyDescent="0.2">
      <c r="A184" t="s">
        <v>13</v>
      </c>
      <c r="B184" t="s">
        <v>14</v>
      </c>
      <c r="C184" s="2">
        <v>35745</v>
      </c>
      <c r="D184">
        <v>695956</v>
      </c>
      <c r="E184">
        <v>6208568</v>
      </c>
      <c r="F184">
        <v>1</v>
      </c>
      <c r="G184">
        <v>3</v>
      </c>
      <c r="H184">
        <v>5</v>
      </c>
      <c r="I184">
        <v>10</v>
      </c>
      <c r="J184" t="str">
        <f>_xlfn.TEXTJOIN("-",,H184,I184)</f>
        <v>5-10</v>
      </c>
      <c r="K184" t="s">
        <v>15</v>
      </c>
      <c r="L184" t="s">
        <v>16</v>
      </c>
      <c r="M184" s="3">
        <v>6.50600030901842</v>
      </c>
      <c r="N184" t="s">
        <v>17</v>
      </c>
    </row>
    <row r="185" spans="1:14" hidden="1" x14ac:dyDescent="0.2">
      <c r="A185" t="s">
        <v>21</v>
      </c>
      <c r="B185" t="s">
        <v>14</v>
      </c>
      <c r="C185" s="2">
        <v>35745</v>
      </c>
      <c r="D185">
        <v>694929</v>
      </c>
      <c r="E185">
        <v>6209746</v>
      </c>
      <c r="F185">
        <v>1</v>
      </c>
      <c r="G185">
        <v>1</v>
      </c>
      <c r="H185">
        <v>0</v>
      </c>
      <c r="I185">
        <v>2</v>
      </c>
      <c r="J185" t="str">
        <f>_xlfn.TEXTJOIN("-",,H185,I185)</f>
        <v>0-2</v>
      </c>
      <c r="K185" t="s">
        <v>25</v>
      </c>
      <c r="L185" t="s">
        <v>16</v>
      </c>
      <c r="M185" s="3">
        <v>48</v>
      </c>
      <c r="N185" t="s">
        <v>26</v>
      </c>
    </row>
    <row r="186" spans="1:14" hidden="1" x14ac:dyDescent="0.2">
      <c r="A186" t="s">
        <v>21</v>
      </c>
      <c r="B186" t="s">
        <v>14</v>
      </c>
      <c r="C186" s="2">
        <v>35745</v>
      </c>
      <c r="D186">
        <v>694929</v>
      </c>
      <c r="E186">
        <v>6209746</v>
      </c>
      <c r="F186">
        <v>1</v>
      </c>
      <c r="G186">
        <v>3</v>
      </c>
      <c r="H186">
        <v>5</v>
      </c>
      <c r="I186">
        <v>10</v>
      </c>
      <c r="J186" t="str">
        <f>_xlfn.TEXTJOIN("-",,H186,I186)</f>
        <v>5-10</v>
      </c>
      <c r="K186" t="s">
        <v>15</v>
      </c>
      <c r="L186" t="s">
        <v>16</v>
      </c>
      <c r="M186" s="3">
        <v>7.8120003710500896</v>
      </c>
      <c r="N186" t="s">
        <v>17</v>
      </c>
    </row>
    <row r="187" spans="1:14" hidden="1" x14ac:dyDescent="0.2">
      <c r="A187" t="s">
        <v>13</v>
      </c>
      <c r="B187" t="s">
        <v>14</v>
      </c>
      <c r="C187" s="2">
        <v>35745</v>
      </c>
      <c r="D187">
        <v>695956</v>
      </c>
      <c r="E187">
        <v>6208568</v>
      </c>
      <c r="F187">
        <v>1</v>
      </c>
      <c r="G187">
        <v>5</v>
      </c>
      <c r="H187">
        <v>20</v>
      </c>
      <c r="I187">
        <v>30</v>
      </c>
      <c r="J187" t="str">
        <f>_xlfn.TEXTJOIN("-",,H187,I187)</f>
        <v>20-30</v>
      </c>
      <c r="K187" t="s">
        <v>20</v>
      </c>
      <c r="L187" t="s">
        <v>16</v>
      </c>
      <c r="M187" s="3">
        <v>150.00000712461801</v>
      </c>
      <c r="N187" t="s">
        <v>17</v>
      </c>
    </row>
    <row r="188" spans="1:14" hidden="1" x14ac:dyDescent="0.2">
      <c r="A188" t="s">
        <v>21</v>
      </c>
      <c r="B188" t="s">
        <v>14</v>
      </c>
      <c r="C188" s="2">
        <v>35745</v>
      </c>
      <c r="D188">
        <v>694929</v>
      </c>
      <c r="E188">
        <v>6209746</v>
      </c>
      <c r="F188">
        <v>1</v>
      </c>
      <c r="G188">
        <v>6</v>
      </c>
      <c r="H188">
        <v>30</v>
      </c>
      <c r="I188">
        <v>39</v>
      </c>
      <c r="J188" t="str">
        <f>_xlfn.TEXTJOIN("-",,H188,I188)</f>
        <v>30-39</v>
      </c>
      <c r="K188" t="s">
        <v>15</v>
      </c>
      <c r="L188" t="s">
        <v>16</v>
      </c>
      <c r="M188" s="3">
        <v>13.742000652710001</v>
      </c>
      <c r="N188" t="s">
        <v>17</v>
      </c>
    </row>
    <row r="189" spans="1:14" hidden="1" x14ac:dyDescent="0.2">
      <c r="A189" t="s">
        <v>18</v>
      </c>
      <c r="B189" t="s">
        <v>19</v>
      </c>
      <c r="C189" s="2">
        <v>35745</v>
      </c>
      <c r="D189">
        <v>692735</v>
      </c>
      <c r="E189">
        <v>6209960</v>
      </c>
      <c r="F189">
        <v>1</v>
      </c>
      <c r="G189">
        <v>2</v>
      </c>
      <c r="H189">
        <v>2</v>
      </c>
      <c r="I189">
        <v>5</v>
      </c>
      <c r="J189" t="str">
        <f>_xlfn.TEXTJOIN("-",,H189,I189)</f>
        <v>2-5</v>
      </c>
      <c r="K189" t="s">
        <v>25</v>
      </c>
      <c r="L189" t="s">
        <v>16</v>
      </c>
      <c r="M189" s="3">
        <v>44</v>
      </c>
      <c r="N189" t="s">
        <v>26</v>
      </c>
    </row>
    <row r="190" spans="1:14" hidden="1" x14ac:dyDescent="0.2">
      <c r="A190" t="s">
        <v>13</v>
      </c>
      <c r="B190" t="s">
        <v>14</v>
      </c>
      <c r="C190" s="2">
        <v>35745</v>
      </c>
      <c r="D190">
        <v>695956</v>
      </c>
      <c r="E190">
        <v>6208568</v>
      </c>
      <c r="F190">
        <v>1</v>
      </c>
      <c r="G190">
        <v>6</v>
      </c>
      <c r="H190">
        <v>30</v>
      </c>
      <c r="I190">
        <v>41</v>
      </c>
      <c r="J190" t="str">
        <f>_xlfn.TEXTJOIN("-",,H190,I190)</f>
        <v>30-41</v>
      </c>
      <c r="K190" t="s">
        <v>25</v>
      </c>
      <c r="L190" t="s">
        <v>16</v>
      </c>
      <c r="M190" s="3">
        <v>18</v>
      </c>
      <c r="N190" t="s">
        <v>26</v>
      </c>
    </row>
    <row r="191" spans="1:14" hidden="1" x14ac:dyDescent="0.2">
      <c r="A191" t="s">
        <v>18</v>
      </c>
      <c r="B191" t="s">
        <v>19</v>
      </c>
      <c r="C191" s="2">
        <v>35745</v>
      </c>
      <c r="D191">
        <v>692735</v>
      </c>
      <c r="E191">
        <v>6209960</v>
      </c>
      <c r="F191">
        <v>1</v>
      </c>
      <c r="G191">
        <v>5</v>
      </c>
      <c r="H191">
        <v>20</v>
      </c>
      <c r="I191">
        <v>30</v>
      </c>
      <c r="J191" t="str">
        <f>_xlfn.TEXTJOIN("-",,H191,I191)</f>
        <v>20-30</v>
      </c>
      <c r="K191" t="s">
        <v>15</v>
      </c>
      <c r="L191" t="s">
        <v>16</v>
      </c>
      <c r="M191" s="3">
        <v>16.034000761574099</v>
      </c>
      <c r="N191" t="s">
        <v>17</v>
      </c>
    </row>
    <row r="192" spans="1:14" hidden="1" x14ac:dyDescent="0.2">
      <c r="A192" t="s">
        <v>13</v>
      </c>
      <c r="B192" t="s">
        <v>14</v>
      </c>
      <c r="C192" s="2">
        <v>35745</v>
      </c>
      <c r="D192">
        <v>695956</v>
      </c>
      <c r="E192">
        <v>6208568</v>
      </c>
      <c r="F192">
        <v>1</v>
      </c>
      <c r="G192">
        <v>2</v>
      </c>
      <c r="H192">
        <v>2</v>
      </c>
      <c r="I192">
        <v>5</v>
      </c>
      <c r="J192" t="str">
        <f>_xlfn.TEXTJOIN("-",,H192,I192)</f>
        <v>2-5</v>
      </c>
      <c r="K192" t="s">
        <v>25</v>
      </c>
      <c r="L192" t="s">
        <v>16</v>
      </c>
      <c r="M192" s="3">
        <v>42</v>
      </c>
      <c r="N192" t="s">
        <v>26</v>
      </c>
    </row>
    <row r="193" spans="1:14" hidden="1" x14ac:dyDescent="0.2">
      <c r="A193" t="s">
        <v>18</v>
      </c>
      <c r="B193" t="s">
        <v>19</v>
      </c>
      <c r="C193" s="2">
        <v>35745</v>
      </c>
      <c r="D193">
        <v>692735</v>
      </c>
      <c r="E193">
        <v>6209960</v>
      </c>
      <c r="F193">
        <v>1</v>
      </c>
      <c r="G193">
        <v>2</v>
      </c>
      <c r="H193">
        <v>2</v>
      </c>
      <c r="I193">
        <v>5</v>
      </c>
      <c r="J193" t="str">
        <f>_xlfn.TEXTJOIN("-",,H193,I193)</f>
        <v>2-5</v>
      </c>
      <c r="K193" t="s">
        <v>15</v>
      </c>
      <c r="L193" t="s">
        <v>16</v>
      </c>
      <c r="M193" s="3">
        <v>6.50600030901842</v>
      </c>
      <c r="N193" t="s">
        <v>17</v>
      </c>
    </row>
    <row r="194" spans="1:14" hidden="1" x14ac:dyDescent="0.2">
      <c r="A194" t="s">
        <v>18</v>
      </c>
      <c r="B194" t="s">
        <v>19</v>
      </c>
      <c r="C194" s="2">
        <v>35745</v>
      </c>
      <c r="D194">
        <v>692735</v>
      </c>
      <c r="E194">
        <v>6209960</v>
      </c>
      <c r="F194">
        <v>1</v>
      </c>
      <c r="G194">
        <v>5</v>
      </c>
      <c r="H194">
        <v>20</v>
      </c>
      <c r="I194">
        <v>30</v>
      </c>
      <c r="J194" t="str">
        <f>_xlfn.TEXTJOIN("-",,H194,I194)</f>
        <v>20-30</v>
      </c>
      <c r="K194" t="s">
        <v>20</v>
      </c>
      <c r="L194" t="s">
        <v>16</v>
      </c>
      <c r="M194" s="3">
        <v>170.00000807456701</v>
      </c>
      <c r="N194" t="s">
        <v>17</v>
      </c>
    </row>
    <row r="195" spans="1:14" hidden="1" x14ac:dyDescent="0.2">
      <c r="A195" t="s">
        <v>21</v>
      </c>
      <c r="B195" t="s">
        <v>14</v>
      </c>
      <c r="C195" s="2">
        <v>35745</v>
      </c>
      <c r="D195">
        <v>694929</v>
      </c>
      <c r="E195">
        <v>6209746</v>
      </c>
      <c r="F195">
        <v>1</v>
      </c>
      <c r="G195">
        <v>4</v>
      </c>
      <c r="H195">
        <v>10</v>
      </c>
      <c r="I195">
        <v>20</v>
      </c>
      <c r="J195" t="str">
        <f>_xlfn.TEXTJOIN("-",,H195,I195)</f>
        <v>10-20</v>
      </c>
      <c r="K195" t="s">
        <v>25</v>
      </c>
      <c r="L195" t="s">
        <v>16</v>
      </c>
      <c r="M195" s="3">
        <v>32</v>
      </c>
      <c r="N195" t="s">
        <v>26</v>
      </c>
    </row>
    <row r="196" spans="1:14" hidden="1" x14ac:dyDescent="0.2">
      <c r="A196" t="s">
        <v>18</v>
      </c>
      <c r="B196" t="s">
        <v>19</v>
      </c>
      <c r="C196" s="2">
        <v>35745</v>
      </c>
      <c r="D196">
        <v>692735</v>
      </c>
      <c r="E196">
        <v>6209960</v>
      </c>
      <c r="F196">
        <v>1</v>
      </c>
      <c r="G196">
        <v>2</v>
      </c>
      <c r="H196">
        <v>2</v>
      </c>
      <c r="I196">
        <v>5</v>
      </c>
      <c r="J196" t="str">
        <f>_xlfn.TEXTJOIN("-",,H196,I196)</f>
        <v>2-5</v>
      </c>
      <c r="K196" t="s">
        <v>20</v>
      </c>
      <c r="L196" t="s">
        <v>16</v>
      </c>
      <c r="M196" s="3">
        <v>140.00000664964301</v>
      </c>
      <c r="N196" t="s">
        <v>17</v>
      </c>
    </row>
    <row r="197" spans="1:14" hidden="1" x14ac:dyDescent="0.2">
      <c r="A197" t="s">
        <v>18</v>
      </c>
      <c r="B197" t="s">
        <v>19</v>
      </c>
      <c r="C197" s="2">
        <v>35745</v>
      </c>
      <c r="D197">
        <v>692735</v>
      </c>
      <c r="E197">
        <v>6209960</v>
      </c>
      <c r="F197">
        <v>1</v>
      </c>
      <c r="G197">
        <v>1</v>
      </c>
      <c r="H197">
        <v>0</v>
      </c>
      <c r="I197">
        <v>2</v>
      </c>
      <c r="J197" t="str">
        <f>_xlfn.TEXTJOIN("-",,H197,I197)</f>
        <v>0-2</v>
      </c>
      <c r="K197" t="s">
        <v>20</v>
      </c>
      <c r="L197" t="s">
        <v>16</v>
      </c>
      <c r="M197" s="3">
        <v>140.00000664964301</v>
      </c>
      <c r="N197" t="s">
        <v>17</v>
      </c>
    </row>
    <row r="198" spans="1:14" hidden="1" x14ac:dyDescent="0.2">
      <c r="A198" t="s">
        <v>18</v>
      </c>
      <c r="B198" t="s">
        <v>19</v>
      </c>
      <c r="C198" s="2">
        <v>35745</v>
      </c>
      <c r="D198">
        <v>692735</v>
      </c>
      <c r="E198">
        <v>6209960</v>
      </c>
      <c r="F198">
        <v>1</v>
      </c>
      <c r="G198">
        <v>2</v>
      </c>
      <c r="H198">
        <v>2</v>
      </c>
      <c r="I198">
        <v>5</v>
      </c>
      <c r="J198" t="str">
        <f>_xlfn.TEXTJOIN("-",,H198,I198)</f>
        <v>2-5</v>
      </c>
      <c r="K198" t="s">
        <v>22</v>
      </c>
      <c r="L198" t="s">
        <v>16</v>
      </c>
      <c r="M198" s="3">
        <v>3.7</v>
      </c>
      <c r="N198" t="s">
        <v>23</v>
      </c>
    </row>
    <row r="199" spans="1:14" x14ac:dyDescent="0.2">
      <c r="A199" t="s">
        <v>18</v>
      </c>
      <c r="B199" t="s">
        <v>19</v>
      </c>
      <c r="C199" s="2">
        <v>41954</v>
      </c>
      <c r="D199">
        <v>692735</v>
      </c>
      <c r="E199">
        <v>6209960</v>
      </c>
      <c r="F199">
        <v>1</v>
      </c>
      <c r="G199">
        <v>1</v>
      </c>
      <c r="H199">
        <v>0</v>
      </c>
      <c r="I199">
        <v>2</v>
      </c>
      <c r="J199" t="str">
        <f>_xlfn.TEXTJOIN("-",,H199,I199)</f>
        <v>0-2</v>
      </c>
      <c r="K199" t="s">
        <v>27</v>
      </c>
      <c r="L199" t="s">
        <v>16</v>
      </c>
      <c r="M199" s="3">
        <v>1.4000000664964301</v>
      </c>
      <c r="N199" t="s">
        <v>17</v>
      </c>
    </row>
    <row r="200" spans="1:14" hidden="1" x14ac:dyDescent="0.2">
      <c r="A200" t="s">
        <v>13</v>
      </c>
      <c r="B200" t="s">
        <v>14</v>
      </c>
      <c r="C200" s="2">
        <v>35745</v>
      </c>
      <c r="D200">
        <v>695956</v>
      </c>
      <c r="E200">
        <v>6208568</v>
      </c>
      <c r="F200">
        <v>1</v>
      </c>
      <c r="G200">
        <v>2</v>
      </c>
      <c r="H200">
        <v>2</v>
      </c>
      <c r="I200">
        <v>5</v>
      </c>
      <c r="J200" t="str">
        <f>_xlfn.TEXTJOIN("-",,H200,I200)</f>
        <v>2-5</v>
      </c>
      <c r="K200" t="s">
        <v>22</v>
      </c>
      <c r="L200" t="s">
        <v>16</v>
      </c>
      <c r="M200" s="3">
        <v>3.9</v>
      </c>
      <c r="N200" t="s">
        <v>23</v>
      </c>
    </row>
    <row r="201" spans="1:14" x14ac:dyDescent="0.2">
      <c r="A201" t="s">
        <v>21</v>
      </c>
      <c r="B201" t="s">
        <v>14</v>
      </c>
      <c r="C201" s="2">
        <v>41954</v>
      </c>
      <c r="D201">
        <v>694929</v>
      </c>
      <c r="E201">
        <v>6209746</v>
      </c>
      <c r="F201">
        <v>1</v>
      </c>
      <c r="G201">
        <v>1</v>
      </c>
      <c r="H201">
        <v>0</v>
      </c>
      <c r="I201">
        <v>2</v>
      </c>
      <c r="J201" t="str">
        <f>_xlfn.TEXTJOIN("-",,H201,I201)</f>
        <v>0-2</v>
      </c>
      <c r="K201" t="s">
        <v>27</v>
      </c>
      <c r="L201" t="s">
        <v>16</v>
      </c>
      <c r="M201" s="3">
        <v>1.8000000854954099</v>
      </c>
      <c r="N201" t="s">
        <v>17</v>
      </c>
    </row>
    <row r="202" spans="1:14" hidden="1" x14ac:dyDescent="0.2">
      <c r="A202" t="s">
        <v>18</v>
      </c>
      <c r="B202" t="s">
        <v>19</v>
      </c>
      <c r="C202" s="2">
        <v>35745</v>
      </c>
      <c r="D202">
        <v>692735</v>
      </c>
      <c r="E202">
        <v>6209960</v>
      </c>
      <c r="F202">
        <v>1</v>
      </c>
      <c r="G202">
        <v>6</v>
      </c>
      <c r="H202">
        <v>30</v>
      </c>
      <c r="I202">
        <v>43</v>
      </c>
      <c r="J202" t="str">
        <f>_xlfn.TEXTJOIN("-",,H202,I202)</f>
        <v>30-43</v>
      </c>
      <c r="K202" t="s">
        <v>22</v>
      </c>
      <c r="L202" t="s">
        <v>16</v>
      </c>
      <c r="M202" s="3">
        <v>15</v>
      </c>
      <c r="N202" t="s">
        <v>23</v>
      </c>
    </row>
    <row r="203" spans="1:14" hidden="1" x14ac:dyDescent="0.2">
      <c r="A203" t="s">
        <v>21</v>
      </c>
      <c r="B203" t="s">
        <v>14</v>
      </c>
      <c r="C203" s="2">
        <v>37565</v>
      </c>
      <c r="D203">
        <v>694929</v>
      </c>
      <c r="E203">
        <v>6209746</v>
      </c>
      <c r="F203">
        <v>1</v>
      </c>
      <c r="G203">
        <v>4</v>
      </c>
      <c r="H203">
        <v>10</v>
      </c>
      <c r="I203">
        <v>20</v>
      </c>
      <c r="J203" t="str">
        <f>_xlfn.TEXTJOIN("-",,H203,I203)</f>
        <v>10-20</v>
      </c>
      <c r="K203" t="s">
        <v>24</v>
      </c>
      <c r="L203" t="s">
        <v>16</v>
      </c>
      <c r="M203" s="3">
        <v>11.800000560469901</v>
      </c>
      <c r="N203" t="s">
        <v>17</v>
      </c>
    </row>
    <row r="204" spans="1:14" hidden="1" x14ac:dyDescent="0.2">
      <c r="A204" t="s">
        <v>13</v>
      </c>
      <c r="B204" t="s">
        <v>14</v>
      </c>
      <c r="C204" s="2">
        <v>37565</v>
      </c>
      <c r="D204">
        <v>695956</v>
      </c>
      <c r="E204">
        <v>6208568</v>
      </c>
      <c r="F204">
        <v>1</v>
      </c>
      <c r="G204">
        <v>6</v>
      </c>
      <c r="H204">
        <v>30</v>
      </c>
      <c r="I204">
        <v>50</v>
      </c>
      <c r="J204" t="str">
        <f>_xlfn.TEXTJOIN("-",,H204,I204)</f>
        <v>30-50</v>
      </c>
      <c r="K204" t="s">
        <v>24</v>
      </c>
      <c r="L204" t="s">
        <v>16</v>
      </c>
      <c r="M204" s="3">
        <v>13.700000650715101</v>
      </c>
      <c r="N204" t="s">
        <v>17</v>
      </c>
    </row>
    <row r="205" spans="1:14" hidden="1" x14ac:dyDescent="0.2">
      <c r="A205" t="s">
        <v>21</v>
      </c>
      <c r="B205" t="s">
        <v>14</v>
      </c>
      <c r="C205" s="2">
        <v>35745</v>
      </c>
      <c r="D205">
        <v>694929</v>
      </c>
      <c r="E205">
        <v>6209746</v>
      </c>
      <c r="F205">
        <v>1</v>
      </c>
      <c r="G205">
        <v>1</v>
      </c>
      <c r="H205">
        <v>0</v>
      </c>
      <c r="I205">
        <v>2</v>
      </c>
      <c r="J205" t="str">
        <f>_xlfn.TEXTJOIN("-",,H205,I205)</f>
        <v>0-2</v>
      </c>
      <c r="K205" t="s">
        <v>22</v>
      </c>
      <c r="L205" t="s">
        <v>16</v>
      </c>
      <c r="M205" s="3">
        <v>3.3</v>
      </c>
      <c r="N205" t="s">
        <v>23</v>
      </c>
    </row>
    <row r="206" spans="1:14" hidden="1" x14ac:dyDescent="0.2">
      <c r="A206" t="s">
        <v>13</v>
      </c>
      <c r="B206" t="s">
        <v>14</v>
      </c>
      <c r="C206" s="2">
        <v>37565</v>
      </c>
      <c r="D206">
        <v>695956</v>
      </c>
      <c r="E206">
        <v>6208568</v>
      </c>
      <c r="F206">
        <v>1</v>
      </c>
      <c r="G206">
        <v>4</v>
      </c>
      <c r="H206">
        <v>10</v>
      </c>
      <c r="I206">
        <v>20</v>
      </c>
      <c r="J206" t="str">
        <f>_xlfn.TEXTJOIN("-",,H206,I206)</f>
        <v>10-20</v>
      </c>
      <c r="K206" t="s">
        <v>24</v>
      </c>
      <c r="L206" t="s">
        <v>16</v>
      </c>
      <c r="M206" s="3">
        <v>9.8600004683248699</v>
      </c>
      <c r="N206" t="s">
        <v>17</v>
      </c>
    </row>
    <row r="207" spans="1:14" hidden="1" x14ac:dyDescent="0.2">
      <c r="A207" t="s">
        <v>21</v>
      </c>
      <c r="B207" t="s">
        <v>14</v>
      </c>
      <c r="C207" s="2">
        <v>37565</v>
      </c>
      <c r="D207">
        <v>694929</v>
      </c>
      <c r="E207">
        <v>6209746</v>
      </c>
      <c r="F207">
        <v>1</v>
      </c>
      <c r="G207">
        <v>6</v>
      </c>
      <c r="H207">
        <v>30</v>
      </c>
      <c r="I207">
        <v>50</v>
      </c>
      <c r="J207" t="str">
        <f>_xlfn.TEXTJOIN("-",,H207,I207)</f>
        <v>30-50</v>
      </c>
      <c r="K207" t="s">
        <v>24</v>
      </c>
      <c r="L207" t="s">
        <v>16</v>
      </c>
      <c r="M207" s="3">
        <v>12.300000584218701</v>
      </c>
      <c r="N207" t="s">
        <v>17</v>
      </c>
    </row>
    <row r="208" spans="1:14" hidden="1" x14ac:dyDescent="0.2">
      <c r="A208" t="s">
        <v>18</v>
      </c>
      <c r="B208" t="s">
        <v>19</v>
      </c>
      <c r="C208" s="2">
        <v>35745</v>
      </c>
      <c r="D208">
        <v>692735</v>
      </c>
      <c r="E208">
        <v>6209960</v>
      </c>
      <c r="F208">
        <v>1</v>
      </c>
      <c r="G208">
        <v>5</v>
      </c>
      <c r="H208">
        <v>20</v>
      </c>
      <c r="I208">
        <v>30</v>
      </c>
      <c r="J208" t="str">
        <f>_xlfn.TEXTJOIN("-",,H208,I208)</f>
        <v>20-30</v>
      </c>
      <c r="K208" t="s">
        <v>22</v>
      </c>
      <c r="L208" t="s">
        <v>16</v>
      </c>
      <c r="M208" s="3">
        <v>10</v>
      </c>
      <c r="N208" t="s">
        <v>23</v>
      </c>
    </row>
    <row r="209" spans="1:14" hidden="1" x14ac:dyDescent="0.2">
      <c r="A209" t="s">
        <v>13</v>
      </c>
      <c r="B209" t="s">
        <v>14</v>
      </c>
      <c r="C209" s="2">
        <v>35745</v>
      </c>
      <c r="D209">
        <v>695956</v>
      </c>
      <c r="E209">
        <v>6208568</v>
      </c>
      <c r="F209">
        <v>1</v>
      </c>
      <c r="G209">
        <v>1</v>
      </c>
      <c r="H209">
        <v>0</v>
      </c>
      <c r="I209">
        <v>2</v>
      </c>
      <c r="J209" t="str">
        <f>_xlfn.TEXTJOIN("-",,H209,I209)</f>
        <v>0-2</v>
      </c>
      <c r="K209" t="s">
        <v>25</v>
      </c>
      <c r="L209" t="s">
        <v>16</v>
      </c>
      <c r="M209" s="3">
        <v>42</v>
      </c>
      <c r="N209" t="s">
        <v>26</v>
      </c>
    </row>
    <row r="210" spans="1:14" x14ac:dyDescent="0.2">
      <c r="A210" t="s">
        <v>13</v>
      </c>
      <c r="B210" t="s">
        <v>14</v>
      </c>
      <c r="C210" s="2">
        <v>41954</v>
      </c>
      <c r="D210">
        <v>695956</v>
      </c>
      <c r="E210">
        <v>6208568</v>
      </c>
      <c r="F210">
        <v>1</v>
      </c>
      <c r="G210">
        <v>1</v>
      </c>
      <c r="H210">
        <v>0</v>
      </c>
      <c r="I210">
        <v>2</v>
      </c>
      <c r="J210" t="str">
        <f>_xlfn.TEXTJOIN("-",,H210,I210)</f>
        <v>0-2</v>
      </c>
      <c r="K210" t="s">
        <v>27</v>
      </c>
      <c r="L210" t="s">
        <v>16</v>
      </c>
      <c r="M210" s="3">
        <v>1.5000000712461801</v>
      </c>
      <c r="N210" t="s">
        <v>17</v>
      </c>
    </row>
    <row r="211" spans="1:14" x14ac:dyDescent="0.2">
      <c r="A211" t="s">
        <v>13</v>
      </c>
      <c r="B211" t="s">
        <v>14</v>
      </c>
      <c r="C211" s="2">
        <v>43412</v>
      </c>
      <c r="D211">
        <v>695956</v>
      </c>
      <c r="E211">
        <v>6208568</v>
      </c>
      <c r="F211">
        <v>1</v>
      </c>
      <c r="G211">
        <v>1</v>
      </c>
      <c r="H211">
        <v>0</v>
      </c>
      <c r="I211">
        <v>2</v>
      </c>
      <c r="J211" t="str">
        <f>_xlfn.TEXTJOIN("-",,H211,I211)</f>
        <v>0-2</v>
      </c>
      <c r="K211" t="s">
        <v>27</v>
      </c>
      <c r="L211" t="s">
        <v>16</v>
      </c>
      <c r="M211" s="3">
        <v>1.8000000854954099</v>
      </c>
      <c r="N211" t="s">
        <v>17</v>
      </c>
    </row>
    <row r="212" spans="1:14" hidden="1" x14ac:dyDescent="0.2">
      <c r="A212" t="s">
        <v>18</v>
      </c>
      <c r="B212" t="s">
        <v>19</v>
      </c>
      <c r="C212" s="2">
        <v>35745</v>
      </c>
      <c r="D212">
        <v>692735</v>
      </c>
      <c r="E212">
        <v>6209960</v>
      </c>
      <c r="F212">
        <v>1</v>
      </c>
      <c r="G212">
        <v>1</v>
      </c>
      <c r="H212">
        <v>0</v>
      </c>
      <c r="I212">
        <v>2</v>
      </c>
      <c r="J212" t="str">
        <f>_xlfn.TEXTJOIN("-",,H212,I212)</f>
        <v>0-2</v>
      </c>
      <c r="K212" t="s">
        <v>22</v>
      </c>
      <c r="L212" t="s">
        <v>16</v>
      </c>
      <c r="M212" s="3">
        <v>2.8</v>
      </c>
      <c r="N212" t="s">
        <v>23</v>
      </c>
    </row>
    <row r="213" spans="1:14" hidden="1" x14ac:dyDescent="0.2">
      <c r="A213" t="s">
        <v>21</v>
      </c>
      <c r="B213" t="s">
        <v>14</v>
      </c>
      <c r="C213" s="2">
        <v>35745</v>
      </c>
      <c r="D213">
        <v>694929</v>
      </c>
      <c r="E213">
        <v>6209746</v>
      </c>
      <c r="F213">
        <v>1</v>
      </c>
      <c r="G213">
        <v>1</v>
      </c>
      <c r="H213">
        <v>0</v>
      </c>
      <c r="I213">
        <v>2</v>
      </c>
      <c r="J213" t="str">
        <f>_xlfn.TEXTJOIN("-",,H213,I213)</f>
        <v>0-2</v>
      </c>
      <c r="K213" t="s">
        <v>20</v>
      </c>
      <c r="L213" t="s">
        <v>16</v>
      </c>
      <c r="M213" s="3">
        <v>150.00000712461801</v>
      </c>
      <c r="N213" t="s">
        <v>17</v>
      </c>
    </row>
    <row r="214" spans="1:14" hidden="1" x14ac:dyDescent="0.2">
      <c r="A214" t="s">
        <v>21</v>
      </c>
      <c r="B214" t="s">
        <v>14</v>
      </c>
      <c r="C214" s="2">
        <v>35745</v>
      </c>
      <c r="D214">
        <v>694929</v>
      </c>
      <c r="E214">
        <v>6209746</v>
      </c>
      <c r="F214">
        <v>1</v>
      </c>
      <c r="G214">
        <v>4</v>
      </c>
      <c r="H214">
        <v>10</v>
      </c>
      <c r="I214">
        <v>20</v>
      </c>
      <c r="J214" t="str">
        <f>_xlfn.TEXTJOIN("-",,H214,I214)</f>
        <v>10-20</v>
      </c>
      <c r="K214" t="s">
        <v>22</v>
      </c>
      <c r="L214" t="s">
        <v>16</v>
      </c>
      <c r="M214" s="3">
        <v>7.6</v>
      </c>
      <c r="N214" t="s">
        <v>23</v>
      </c>
    </row>
    <row r="215" spans="1:14" hidden="1" x14ac:dyDescent="0.2">
      <c r="A215" t="s">
        <v>18</v>
      </c>
      <c r="B215" t="s">
        <v>19</v>
      </c>
      <c r="C215" s="2">
        <v>35745</v>
      </c>
      <c r="D215">
        <v>692735</v>
      </c>
      <c r="E215">
        <v>6209960</v>
      </c>
      <c r="F215">
        <v>1</v>
      </c>
      <c r="G215">
        <v>1</v>
      </c>
      <c r="H215">
        <v>0</v>
      </c>
      <c r="I215">
        <v>2</v>
      </c>
      <c r="J215" t="str">
        <f>_xlfn.TEXTJOIN("-",,H215,I215)</f>
        <v>0-2</v>
      </c>
      <c r="K215" t="s">
        <v>25</v>
      </c>
      <c r="L215" t="s">
        <v>16</v>
      </c>
      <c r="M215" s="3">
        <v>45</v>
      </c>
      <c r="N215" t="s">
        <v>26</v>
      </c>
    </row>
    <row r="216" spans="1:14" hidden="1" x14ac:dyDescent="0.2">
      <c r="A216" t="s">
        <v>18</v>
      </c>
      <c r="B216" t="s">
        <v>19</v>
      </c>
      <c r="C216" s="2">
        <v>37565</v>
      </c>
      <c r="D216">
        <v>692735</v>
      </c>
      <c r="E216">
        <v>6209960</v>
      </c>
      <c r="F216">
        <v>1</v>
      </c>
      <c r="G216">
        <v>6</v>
      </c>
      <c r="H216">
        <v>30</v>
      </c>
      <c r="I216">
        <v>50</v>
      </c>
      <c r="J216" t="str">
        <f>_xlfn.TEXTJOIN("-",,H216,I216)</f>
        <v>30-50</v>
      </c>
      <c r="K216" t="s">
        <v>24</v>
      </c>
      <c r="L216" t="s">
        <v>16</v>
      </c>
      <c r="M216" s="3">
        <v>9.2500004393514192</v>
      </c>
      <c r="N216" t="s">
        <v>17</v>
      </c>
    </row>
    <row r="217" spans="1:14" hidden="1" x14ac:dyDescent="0.2">
      <c r="A217" t="s">
        <v>18</v>
      </c>
      <c r="B217" t="s">
        <v>19</v>
      </c>
      <c r="C217" s="2">
        <v>35745</v>
      </c>
      <c r="D217">
        <v>692735</v>
      </c>
      <c r="E217">
        <v>6209960</v>
      </c>
      <c r="F217">
        <v>1</v>
      </c>
      <c r="G217">
        <v>5</v>
      </c>
      <c r="H217">
        <v>20</v>
      </c>
      <c r="I217">
        <v>30</v>
      </c>
      <c r="J217" t="str">
        <f>_xlfn.TEXTJOIN("-",,H217,I217)</f>
        <v>20-30</v>
      </c>
      <c r="K217" t="s">
        <v>25</v>
      </c>
      <c r="L217" t="s">
        <v>16</v>
      </c>
      <c r="M217" s="3">
        <v>21</v>
      </c>
      <c r="N217" t="s">
        <v>26</v>
      </c>
    </row>
    <row r="218" spans="1:14" hidden="1" x14ac:dyDescent="0.2">
      <c r="A218" t="s">
        <v>13</v>
      </c>
      <c r="B218" t="s">
        <v>14</v>
      </c>
      <c r="C218" s="2">
        <v>35745</v>
      </c>
      <c r="D218">
        <v>695956</v>
      </c>
      <c r="E218">
        <v>6208568</v>
      </c>
      <c r="F218">
        <v>1</v>
      </c>
      <c r="G218">
        <v>1</v>
      </c>
      <c r="H218">
        <v>0</v>
      </c>
      <c r="I218">
        <v>2</v>
      </c>
      <c r="J218" t="str">
        <f>_xlfn.TEXTJOIN("-",,H218,I218)</f>
        <v>0-2</v>
      </c>
      <c r="K218" t="s">
        <v>15</v>
      </c>
      <c r="L218" t="s">
        <v>16</v>
      </c>
      <c r="M218" s="3">
        <v>7.8740003739949298</v>
      </c>
      <c r="N218" t="s">
        <v>17</v>
      </c>
    </row>
    <row r="219" spans="1:14" hidden="1" x14ac:dyDescent="0.2">
      <c r="A219" t="s">
        <v>21</v>
      </c>
      <c r="B219" t="s">
        <v>14</v>
      </c>
      <c r="C219" s="2">
        <v>35745</v>
      </c>
      <c r="D219">
        <v>694929</v>
      </c>
      <c r="E219">
        <v>6209746</v>
      </c>
      <c r="F219">
        <v>1</v>
      </c>
      <c r="G219">
        <v>2</v>
      </c>
      <c r="H219">
        <v>2</v>
      </c>
      <c r="I219">
        <v>5</v>
      </c>
      <c r="J219" t="str">
        <f>_xlfn.TEXTJOIN("-",,H219,I219)</f>
        <v>2-5</v>
      </c>
      <c r="K219" t="s">
        <v>20</v>
      </c>
      <c r="L219" t="s">
        <v>16</v>
      </c>
      <c r="M219" s="3">
        <v>150.00000712461801</v>
      </c>
      <c r="N219" t="s">
        <v>17</v>
      </c>
    </row>
    <row r="220" spans="1:14" x14ac:dyDescent="0.2">
      <c r="A220" t="s">
        <v>21</v>
      </c>
      <c r="B220" t="s">
        <v>14</v>
      </c>
      <c r="C220" s="2">
        <v>43412</v>
      </c>
      <c r="D220">
        <v>694929</v>
      </c>
      <c r="E220">
        <v>6209746</v>
      </c>
      <c r="F220">
        <v>1</v>
      </c>
      <c r="G220">
        <v>1</v>
      </c>
      <c r="H220">
        <v>0</v>
      </c>
      <c r="I220">
        <v>2</v>
      </c>
      <c r="J220" t="str">
        <f>_xlfn.TEXTJOIN("-",,H220,I220)</f>
        <v>0-2</v>
      </c>
      <c r="K220" t="s">
        <v>27</v>
      </c>
      <c r="L220" t="s">
        <v>16</v>
      </c>
      <c r="M220" s="3">
        <v>1.5000000712461801</v>
      </c>
      <c r="N220" t="s">
        <v>17</v>
      </c>
    </row>
    <row r="221" spans="1:14" hidden="1" x14ac:dyDescent="0.2">
      <c r="A221" t="s">
        <v>18</v>
      </c>
      <c r="B221" t="s">
        <v>19</v>
      </c>
      <c r="C221" s="2">
        <v>35745</v>
      </c>
      <c r="D221">
        <v>692735</v>
      </c>
      <c r="E221">
        <v>6209960</v>
      </c>
      <c r="F221">
        <v>1</v>
      </c>
      <c r="G221">
        <v>3</v>
      </c>
      <c r="H221">
        <v>5</v>
      </c>
      <c r="I221">
        <v>10</v>
      </c>
      <c r="J221" t="str">
        <f>_xlfn.TEXTJOIN("-",,H221,I221)</f>
        <v>5-10</v>
      </c>
      <c r="K221" t="s">
        <v>15</v>
      </c>
      <c r="L221" t="s">
        <v>16</v>
      </c>
      <c r="M221" s="3">
        <v>6.6900003177579501</v>
      </c>
      <c r="N221" t="s">
        <v>17</v>
      </c>
    </row>
    <row r="222" spans="1:14" hidden="1" x14ac:dyDescent="0.2">
      <c r="A222" t="s">
        <v>13</v>
      </c>
      <c r="B222" t="s">
        <v>14</v>
      </c>
      <c r="C222" s="2">
        <v>35745</v>
      </c>
      <c r="D222">
        <v>695956</v>
      </c>
      <c r="E222">
        <v>6208568</v>
      </c>
      <c r="F222">
        <v>1</v>
      </c>
      <c r="G222">
        <v>4</v>
      </c>
      <c r="H222">
        <v>10</v>
      </c>
      <c r="I222">
        <v>20</v>
      </c>
      <c r="J222" t="str">
        <f>_xlfn.TEXTJOIN("-",,H222,I222)</f>
        <v>10-20</v>
      </c>
      <c r="K222" t="s">
        <v>25</v>
      </c>
      <c r="L222" t="s">
        <v>16</v>
      </c>
      <c r="M222" s="3">
        <v>36.200000000000003</v>
      </c>
      <c r="N222" t="s">
        <v>26</v>
      </c>
    </row>
    <row r="223" spans="1:14" hidden="1" x14ac:dyDescent="0.2">
      <c r="A223" t="s">
        <v>18</v>
      </c>
      <c r="B223" t="s">
        <v>19</v>
      </c>
      <c r="C223" s="2">
        <v>37565</v>
      </c>
      <c r="D223">
        <v>692735</v>
      </c>
      <c r="E223">
        <v>6209960</v>
      </c>
      <c r="F223">
        <v>1</v>
      </c>
      <c r="G223">
        <v>5</v>
      </c>
      <c r="H223">
        <v>20</v>
      </c>
      <c r="I223">
        <v>30</v>
      </c>
      <c r="J223" t="str">
        <f>_xlfn.TEXTJOIN("-",,H223,I223)</f>
        <v>20-30</v>
      </c>
      <c r="K223" t="s">
        <v>24</v>
      </c>
      <c r="L223" t="s">
        <v>16</v>
      </c>
      <c r="M223" s="3">
        <v>8.6700004118028993</v>
      </c>
      <c r="N223" t="s">
        <v>17</v>
      </c>
    </row>
    <row r="224" spans="1:14" hidden="1" x14ac:dyDescent="0.2">
      <c r="A224" t="s">
        <v>18</v>
      </c>
      <c r="B224" t="s">
        <v>19</v>
      </c>
      <c r="C224" s="2">
        <v>35745</v>
      </c>
      <c r="D224">
        <v>692735</v>
      </c>
      <c r="E224">
        <v>6209960</v>
      </c>
      <c r="F224">
        <v>1</v>
      </c>
      <c r="G224">
        <v>3</v>
      </c>
      <c r="H224">
        <v>5</v>
      </c>
      <c r="I224">
        <v>10</v>
      </c>
      <c r="J224" t="str">
        <f>_xlfn.TEXTJOIN("-",,H224,I224)</f>
        <v>5-10</v>
      </c>
      <c r="K224" t="s">
        <v>22</v>
      </c>
      <c r="L224" t="s">
        <v>16</v>
      </c>
      <c r="M224" s="3">
        <v>4.8</v>
      </c>
      <c r="N224" t="s">
        <v>23</v>
      </c>
    </row>
    <row r="225" spans="1:14" hidden="1" x14ac:dyDescent="0.2">
      <c r="A225" t="s">
        <v>13</v>
      </c>
      <c r="B225" t="s">
        <v>14</v>
      </c>
      <c r="C225" s="2">
        <v>35745</v>
      </c>
      <c r="D225">
        <v>695956</v>
      </c>
      <c r="E225">
        <v>6208568</v>
      </c>
      <c r="F225">
        <v>1</v>
      </c>
      <c r="G225">
        <v>5</v>
      </c>
      <c r="H225">
        <v>20</v>
      </c>
      <c r="I225">
        <v>30</v>
      </c>
      <c r="J225" t="str">
        <f>_xlfn.TEXTJOIN("-",,H225,I225)</f>
        <v>20-30</v>
      </c>
      <c r="K225" t="s">
        <v>25</v>
      </c>
      <c r="L225" t="s">
        <v>16</v>
      </c>
      <c r="M225" s="3">
        <v>25</v>
      </c>
      <c r="N225" t="s">
        <v>26</v>
      </c>
    </row>
    <row r="226" spans="1:14" hidden="1" x14ac:dyDescent="0.2">
      <c r="A226" t="s">
        <v>18</v>
      </c>
      <c r="B226" t="s">
        <v>19</v>
      </c>
      <c r="C226" s="2">
        <v>35745</v>
      </c>
      <c r="D226">
        <v>692735</v>
      </c>
      <c r="E226">
        <v>6209960</v>
      </c>
      <c r="F226">
        <v>1</v>
      </c>
      <c r="G226">
        <v>4</v>
      </c>
      <c r="H226">
        <v>10</v>
      </c>
      <c r="I226">
        <v>20</v>
      </c>
      <c r="J226" t="str">
        <f>_xlfn.TEXTJOIN("-",,H226,I226)</f>
        <v>10-20</v>
      </c>
      <c r="K226" t="s">
        <v>20</v>
      </c>
      <c r="L226" t="s">
        <v>16</v>
      </c>
      <c r="M226" s="3">
        <v>180.00000854954101</v>
      </c>
      <c r="N226" t="s">
        <v>17</v>
      </c>
    </row>
    <row r="227" spans="1:14" hidden="1" x14ac:dyDescent="0.2">
      <c r="A227" t="s">
        <v>18</v>
      </c>
      <c r="B227" t="s">
        <v>19</v>
      </c>
      <c r="C227" s="2">
        <v>37565</v>
      </c>
      <c r="D227">
        <v>692735</v>
      </c>
      <c r="E227">
        <v>6209960</v>
      </c>
      <c r="F227">
        <v>1</v>
      </c>
      <c r="G227">
        <v>4</v>
      </c>
      <c r="H227">
        <v>10</v>
      </c>
      <c r="I227">
        <v>20</v>
      </c>
      <c r="J227" t="str">
        <f>_xlfn.TEXTJOIN("-",,H227,I227)</f>
        <v>10-20</v>
      </c>
      <c r="K227" t="s">
        <v>24</v>
      </c>
      <c r="L227" t="s">
        <v>16</v>
      </c>
      <c r="M227" s="3">
        <v>9.0300004289019906</v>
      </c>
      <c r="N227" t="s">
        <v>17</v>
      </c>
    </row>
    <row r="228" spans="1:14" hidden="1" x14ac:dyDescent="0.2">
      <c r="A228" t="s">
        <v>21</v>
      </c>
      <c r="B228" t="s">
        <v>14</v>
      </c>
      <c r="C228" s="2">
        <v>35745</v>
      </c>
      <c r="D228">
        <v>694929</v>
      </c>
      <c r="E228">
        <v>6209746</v>
      </c>
      <c r="F228">
        <v>1</v>
      </c>
      <c r="G228">
        <v>4</v>
      </c>
      <c r="H228">
        <v>10</v>
      </c>
      <c r="I228">
        <v>20</v>
      </c>
      <c r="J228" t="str">
        <f>_xlfn.TEXTJOIN("-",,H228,I228)</f>
        <v>10-20</v>
      </c>
      <c r="K228" t="s">
        <v>15</v>
      </c>
      <c r="L228" t="s">
        <v>16</v>
      </c>
      <c r="M228" s="3">
        <v>10.493000498390799</v>
      </c>
      <c r="N228" t="s">
        <v>17</v>
      </c>
    </row>
    <row r="229" spans="1:14" hidden="1" x14ac:dyDescent="0.2">
      <c r="A229" t="s">
        <v>18</v>
      </c>
      <c r="B229" t="s">
        <v>19</v>
      </c>
      <c r="C229" s="2">
        <v>35745</v>
      </c>
      <c r="D229">
        <v>692735</v>
      </c>
      <c r="E229">
        <v>6209960</v>
      </c>
      <c r="F229">
        <v>1</v>
      </c>
      <c r="G229">
        <v>6</v>
      </c>
      <c r="H229">
        <v>30</v>
      </c>
      <c r="I229">
        <v>43</v>
      </c>
      <c r="J229" t="str">
        <f>_xlfn.TEXTJOIN("-",,H229,I229)</f>
        <v>30-43</v>
      </c>
      <c r="K229" t="s">
        <v>15</v>
      </c>
      <c r="L229" t="s">
        <v>16</v>
      </c>
      <c r="M229" s="3">
        <v>14.072000668384099</v>
      </c>
      <c r="N229" t="s">
        <v>17</v>
      </c>
    </row>
    <row r="230" spans="1:14" hidden="1" x14ac:dyDescent="0.2">
      <c r="A230" t="s">
        <v>18</v>
      </c>
      <c r="B230" t="s">
        <v>19</v>
      </c>
      <c r="C230" s="2">
        <v>35745</v>
      </c>
      <c r="D230">
        <v>692735</v>
      </c>
      <c r="E230">
        <v>6209960</v>
      </c>
      <c r="F230">
        <v>1</v>
      </c>
      <c r="G230">
        <v>4</v>
      </c>
      <c r="H230">
        <v>10</v>
      </c>
      <c r="I230">
        <v>20</v>
      </c>
      <c r="J230" t="str">
        <f>_xlfn.TEXTJOIN("-",,H230,I230)</f>
        <v>10-20</v>
      </c>
      <c r="K230" t="s">
        <v>22</v>
      </c>
      <c r="L230" t="s">
        <v>16</v>
      </c>
      <c r="M230" s="3">
        <v>6.3</v>
      </c>
      <c r="N230" t="s">
        <v>23</v>
      </c>
    </row>
    <row r="231" spans="1:14" x14ac:dyDescent="0.2">
      <c r="A231" t="s">
        <v>18</v>
      </c>
      <c r="B231" t="s">
        <v>19</v>
      </c>
      <c r="C231" s="2">
        <v>43412</v>
      </c>
      <c r="D231">
        <v>692735</v>
      </c>
      <c r="E231">
        <v>6209960</v>
      </c>
      <c r="F231">
        <v>1</v>
      </c>
      <c r="G231">
        <v>1</v>
      </c>
      <c r="H231">
        <v>0</v>
      </c>
      <c r="I231">
        <v>2</v>
      </c>
      <c r="J231" t="str">
        <f>_xlfn.TEXTJOIN("-",,H231,I231)</f>
        <v>0-2</v>
      </c>
      <c r="K231" t="s">
        <v>27</v>
      </c>
      <c r="L231" t="s">
        <v>16</v>
      </c>
      <c r="M231" s="3">
        <v>1.6000000759959201</v>
      </c>
      <c r="N231" t="s">
        <v>17</v>
      </c>
    </row>
    <row r="232" spans="1:14" hidden="1" x14ac:dyDescent="0.2">
      <c r="A232" t="s">
        <v>18</v>
      </c>
      <c r="B232" t="s">
        <v>19</v>
      </c>
      <c r="C232" s="2">
        <v>35745</v>
      </c>
      <c r="D232">
        <v>692735</v>
      </c>
      <c r="E232">
        <v>6209960</v>
      </c>
      <c r="F232">
        <v>1</v>
      </c>
      <c r="G232">
        <v>4</v>
      </c>
      <c r="H232">
        <v>10</v>
      </c>
      <c r="I232">
        <v>20</v>
      </c>
      <c r="J232" t="str">
        <f>_xlfn.TEXTJOIN("-",,H232,I232)</f>
        <v>10-20</v>
      </c>
      <c r="K232" t="s">
        <v>15</v>
      </c>
      <c r="L232" t="s">
        <v>16</v>
      </c>
      <c r="M232" s="3">
        <v>9.0600004303269106</v>
      </c>
      <c r="N232" t="s">
        <v>17</v>
      </c>
    </row>
    <row r="233" spans="1:14" hidden="1" x14ac:dyDescent="0.2">
      <c r="A233" t="s">
        <v>21</v>
      </c>
      <c r="B233" t="s">
        <v>14</v>
      </c>
      <c r="C233" s="2">
        <v>35745</v>
      </c>
      <c r="D233">
        <v>694929</v>
      </c>
      <c r="E233">
        <v>6209746</v>
      </c>
      <c r="F233">
        <v>1</v>
      </c>
      <c r="G233">
        <v>2</v>
      </c>
      <c r="H233">
        <v>2</v>
      </c>
      <c r="I233">
        <v>5</v>
      </c>
      <c r="J233" t="str">
        <f>_xlfn.TEXTJOIN("-",,H233,I233)</f>
        <v>2-5</v>
      </c>
      <c r="K233" t="s">
        <v>25</v>
      </c>
      <c r="L233" t="s">
        <v>16</v>
      </c>
      <c r="M233" s="3">
        <v>38</v>
      </c>
      <c r="N233" t="s">
        <v>26</v>
      </c>
    </row>
    <row r="234" spans="1:14" hidden="1" x14ac:dyDescent="0.2">
      <c r="A234" t="s">
        <v>21</v>
      </c>
      <c r="B234" t="s">
        <v>14</v>
      </c>
      <c r="C234" s="2">
        <v>35745</v>
      </c>
      <c r="D234">
        <v>694929</v>
      </c>
      <c r="E234">
        <v>6209746</v>
      </c>
      <c r="F234">
        <v>1</v>
      </c>
      <c r="G234">
        <v>2</v>
      </c>
      <c r="H234">
        <v>2</v>
      </c>
      <c r="I234">
        <v>5</v>
      </c>
      <c r="J234" t="str">
        <f>_xlfn.TEXTJOIN("-",,H234,I234)</f>
        <v>2-5</v>
      </c>
      <c r="K234" t="s">
        <v>15</v>
      </c>
      <c r="L234" t="s">
        <v>16</v>
      </c>
      <c r="M234" s="3">
        <v>6.3050002994714296</v>
      </c>
      <c r="N234" t="s">
        <v>17</v>
      </c>
    </row>
    <row r="235" spans="1:14" hidden="1" x14ac:dyDescent="0.2">
      <c r="A235" t="s">
        <v>21</v>
      </c>
      <c r="B235" t="s">
        <v>14</v>
      </c>
      <c r="C235" s="2">
        <v>35745</v>
      </c>
      <c r="D235">
        <v>694929</v>
      </c>
      <c r="E235">
        <v>6209746</v>
      </c>
      <c r="F235">
        <v>1</v>
      </c>
      <c r="G235">
        <v>5</v>
      </c>
      <c r="H235">
        <v>20</v>
      </c>
      <c r="I235">
        <v>30</v>
      </c>
      <c r="J235" t="str">
        <f>_xlfn.TEXTJOIN("-",,H235,I235)</f>
        <v>20-30</v>
      </c>
      <c r="K235" t="s">
        <v>15</v>
      </c>
      <c r="L235" t="s">
        <v>16</v>
      </c>
      <c r="M235" s="3">
        <v>10.7820005121175</v>
      </c>
      <c r="N235" t="s">
        <v>17</v>
      </c>
    </row>
    <row r="236" spans="1:14" hidden="1" x14ac:dyDescent="0.2">
      <c r="A236" t="s">
        <v>21</v>
      </c>
      <c r="B236" t="s">
        <v>14</v>
      </c>
      <c r="C236" s="2">
        <v>37565</v>
      </c>
      <c r="D236">
        <v>694929</v>
      </c>
      <c r="E236">
        <v>6209746</v>
      </c>
      <c r="F236">
        <v>1</v>
      </c>
      <c r="G236">
        <v>5</v>
      </c>
      <c r="H236">
        <v>20</v>
      </c>
      <c r="I236">
        <v>30</v>
      </c>
      <c r="J236" t="str">
        <f>_xlfn.TEXTJOIN("-",,H236,I236)</f>
        <v>20-30</v>
      </c>
      <c r="K236" t="s">
        <v>24</v>
      </c>
      <c r="L236" t="s">
        <v>16</v>
      </c>
      <c r="M236" s="3">
        <v>11.800000560469901</v>
      </c>
      <c r="N236" t="s">
        <v>17</v>
      </c>
    </row>
    <row r="237" spans="1:14" hidden="1" x14ac:dyDescent="0.2">
      <c r="A237" t="s">
        <v>13</v>
      </c>
      <c r="B237" t="s">
        <v>14</v>
      </c>
      <c r="C237" s="2">
        <v>35745</v>
      </c>
      <c r="D237">
        <v>695956</v>
      </c>
      <c r="E237">
        <v>6208568</v>
      </c>
      <c r="F237">
        <v>1</v>
      </c>
      <c r="G237">
        <v>3</v>
      </c>
      <c r="H237">
        <v>5</v>
      </c>
      <c r="I237">
        <v>10</v>
      </c>
      <c r="J237" t="str">
        <f>_xlfn.TEXTJOIN("-",,H237,I237)</f>
        <v>5-10</v>
      </c>
      <c r="K237" t="s">
        <v>25</v>
      </c>
      <c r="L237" t="s">
        <v>16</v>
      </c>
      <c r="M237" s="3">
        <v>46</v>
      </c>
      <c r="N237" t="s">
        <v>26</v>
      </c>
    </row>
    <row r="238" spans="1:14" hidden="1" x14ac:dyDescent="0.2">
      <c r="A238" t="s">
        <v>21</v>
      </c>
      <c r="B238" t="s">
        <v>14</v>
      </c>
      <c r="C238" s="2">
        <v>35745</v>
      </c>
      <c r="D238">
        <v>694929</v>
      </c>
      <c r="E238">
        <v>6209746</v>
      </c>
      <c r="F238">
        <v>1</v>
      </c>
      <c r="G238">
        <v>5</v>
      </c>
      <c r="H238">
        <v>20</v>
      </c>
      <c r="I238">
        <v>30</v>
      </c>
      <c r="J238" t="str">
        <f>_xlfn.TEXTJOIN("-",,H238,I238)</f>
        <v>20-30</v>
      </c>
      <c r="K238" t="s">
        <v>25</v>
      </c>
      <c r="L238" t="s">
        <v>16</v>
      </c>
      <c r="M238" s="3">
        <v>29</v>
      </c>
      <c r="N238" t="s">
        <v>26</v>
      </c>
    </row>
    <row r="239" spans="1:14" hidden="1" x14ac:dyDescent="0.2">
      <c r="A239" t="s">
        <v>18</v>
      </c>
      <c r="B239" t="s">
        <v>19</v>
      </c>
      <c r="C239" s="2">
        <v>34330</v>
      </c>
      <c r="D239">
        <v>692735</v>
      </c>
      <c r="E239">
        <v>6209960</v>
      </c>
      <c r="F239">
        <v>2</v>
      </c>
      <c r="G239">
        <v>5</v>
      </c>
      <c r="H239">
        <v>20</v>
      </c>
      <c r="I239">
        <v>30</v>
      </c>
      <c r="J239" t="str">
        <f>_xlfn.TEXTJOIN("-",,H239,I239)</f>
        <v>20-30</v>
      </c>
      <c r="K239" t="s">
        <v>27</v>
      </c>
      <c r="L239" t="s">
        <v>16</v>
      </c>
      <c r="M239" s="3">
        <v>1.0330000490648701</v>
      </c>
      <c r="N239" t="s">
        <v>17</v>
      </c>
    </row>
    <row r="240" spans="1:14" hidden="1" x14ac:dyDescent="0.2">
      <c r="A240" t="s">
        <v>18</v>
      </c>
      <c r="B240" t="s">
        <v>19</v>
      </c>
      <c r="C240" s="2">
        <v>34330</v>
      </c>
      <c r="D240">
        <v>692735</v>
      </c>
      <c r="E240">
        <v>6209960</v>
      </c>
      <c r="F240">
        <v>1</v>
      </c>
      <c r="G240">
        <v>5</v>
      </c>
      <c r="H240">
        <v>20</v>
      </c>
      <c r="I240">
        <v>30</v>
      </c>
      <c r="J240" t="str">
        <f>_xlfn.TEXTJOIN("-",,H240,I240)</f>
        <v>20-30</v>
      </c>
      <c r="K240" t="s">
        <v>27</v>
      </c>
      <c r="L240" t="s">
        <v>16</v>
      </c>
      <c r="M240" s="3">
        <v>0.745000035385601</v>
      </c>
      <c r="N240" t="s">
        <v>17</v>
      </c>
    </row>
    <row r="241" spans="1:14" hidden="1" x14ac:dyDescent="0.2">
      <c r="A241" t="s">
        <v>18</v>
      </c>
      <c r="B241" t="s">
        <v>19</v>
      </c>
      <c r="C241" s="2">
        <v>34330</v>
      </c>
      <c r="D241">
        <v>692735</v>
      </c>
      <c r="E241">
        <v>6209960</v>
      </c>
      <c r="F241">
        <v>2</v>
      </c>
      <c r="G241">
        <v>2</v>
      </c>
      <c r="H241">
        <v>2</v>
      </c>
      <c r="I241">
        <v>5</v>
      </c>
      <c r="J241" t="str">
        <f>_xlfn.TEXTJOIN("-",,H241,I241)</f>
        <v>2-5</v>
      </c>
      <c r="K241" t="s">
        <v>24</v>
      </c>
      <c r="L241" t="s">
        <v>16</v>
      </c>
      <c r="M241" s="3">
        <v>5.05000023986213</v>
      </c>
      <c r="N241" t="s">
        <v>17</v>
      </c>
    </row>
    <row r="242" spans="1:14" hidden="1" x14ac:dyDescent="0.2">
      <c r="A242" t="s">
        <v>18</v>
      </c>
      <c r="B242" t="s">
        <v>19</v>
      </c>
      <c r="C242" s="2">
        <v>34330</v>
      </c>
      <c r="D242">
        <v>692735</v>
      </c>
      <c r="E242">
        <v>6209960</v>
      </c>
      <c r="F242">
        <v>1</v>
      </c>
      <c r="G242">
        <v>4</v>
      </c>
      <c r="H242">
        <v>10</v>
      </c>
      <c r="I242">
        <v>20</v>
      </c>
      <c r="J242" t="str">
        <f>_xlfn.TEXTJOIN("-",,H242,I242)</f>
        <v>10-20</v>
      </c>
      <c r="K242" t="s">
        <v>27</v>
      </c>
      <c r="L242" t="s">
        <v>16</v>
      </c>
      <c r="M242" s="3">
        <v>0.65000003087334302</v>
      </c>
      <c r="N242" t="s">
        <v>17</v>
      </c>
    </row>
    <row r="243" spans="1:14" hidden="1" x14ac:dyDescent="0.2">
      <c r="A243" t="s">
        <v>13</v>
      </c>
      <c r="B243" t="s">
        <v>14</v>
      </c>
      <c r="C243" s="2">
        <v>35745</v>
      </c>
      <c r="D243">
        <v>695956</v>
      </c>
      <c r="E243">
        <v>6208568</v>
      </c>
      <c r="F243">
        <v>1</v>
      </c>
      <c r="G243">
        <v>2</v>
      </c>
      <c r="H243">
        <v>2</v>
      </c>
      <c r="I243">
        <v>5</v>
      </c>
      <c r="J243" t="str">
        <f>_xlfn.TEXTJOIN("-",,H243,I243)</f>
        <v>2-5</v>
      </c>
      <c r="K243" t="s">
        <v>15</v>
      </c>
      <c r="L243" t="s">
        <v>16</v>
      </c>
      <c r="M243" s="3">
        <v>7.6470003632130101</v>
      </c>
      <c r="N243" t="s">
        <v>17</v>
      </c>
    </row>
    <row r="244" spans="1:14" hidden="1" x14ac:dyDescent="0.2">
      <c r="A244" t="s">
        <v>18</v>
      </c>
      <c r="B244" t="s">
        <v>19</v>
      </c>
      <c r="C244" s="2">
        <v>35745</v>
      </c>
      <c r="D244">
        <v>692735</v>
      </c>
      <c r="E244">
        <v>6209960</v>
      </c>
      <c r="F244">
        <v>1</v>
      </c>
      <c r="G244">
        <v>3</v>
      </c>
      <c r="H244">
        <v>5</v>
      </c>
      <c r="I244">
        <v>10</v>
      </c>
      <c r="J244" t="str">
        <f>_xlfn.TEXTJOIN("-",,H244,I244)</f>
        <v>5-10</v>
      </c>
      <c r="K244" t="s">
        <v>25</v>
      </c>
      <c r="L244" t="s">
        <v>16</v>
      </c>
      <c r="M244" s="3">
        <v>31</v>
      </c>
      <c r="N244" t="s">
        <v>26</v>
      </c>
    </row>
    <row r="245" spans="1:14" hidden="1" x14ac:dyDescent="0.2">
      <c r="A245" t="s">
        <v>18</v>
      </c>
      <c r="B245" t="s">
        <v>19</v>
      </c>
      <c r="C245" s="2">
        <v>34330</v>
      </c>
      <c r="D245">
        <v>692735</v>
      </c>
      <c r="E245">
        <v>6209960</v>
      </c>
      <c r="F245">
        <v>1</v>
      </c>
      <c r="G245">
        <v>2</v>
      </c>
      <c r="H245">
        <v>2</v>
      </c>
      <c r="I245">
        <v>5</v>
      </c>
      <c r="J245" t="str">
        <f>_xlfn.TEXTJOIN("-",,H245,I245)</f>
        <v>2-5</v>
      </c>
      <c r="K245" t="s">
        <v>24</v>
      </c>
      <c r="L245" t="s">
        <v>16</v>
      </c>
      <c r="M245" s="3">
        <v>10.600000503473</v>
      </c>
      <c r="N245" t="s">
        <v>17</v>
      </c>
    </row>
    <row r="246" spans="1:14" hidden="1" x14ac:dyDescent="0.2">
      <c r="A246" t="s">
        <v>21</v>
      </c>
      <c r="B246" t="s">
        <v>14</v>
      </c>
      <c r="C246" s="2">
        <v>35745</v>
      </c>
      <c r="D246">
        <v>694929</v>
      </c>
      <c r="E246">
        <v>6209746</v>
      </c>
      <c r="F246">
        <v>1</v>
      </c>
      <c r="G246">
        <v>6</v>
      </c>
      <c r="H246">
        <v>30</v>
      </c>
      <c r="I246">
        <v>39</v>
      </c>
      <c r="J246" t="str">
        <f>_xlfn.TEXTJOIN("-",,H246,I246)</f>
        <v>30-39</v>
      </c>
      <c r="K246" t="s">
        <v>25</v>
      </c>
      <c r="L246" t="s">
        <v>16</v>
      </c>
      <c r="M246" s="3">
        <v>24</v>
      </c>
      <c r="N246" t="s">
        <v>26</v>
      </c>
    </row>
    <row r="247" spans="1:14" hidden="1" x14ac:dyDescent="0.2">
      <c r="A247" t="s">
        <v>21</v>
      </c>
      <c r="B247" t="s">
        <v>14</v>
      </c>
      <c r="C247" s="2">
        <v>34330</v>
      </c>
      <c r="D247">
        <v>694929</v>
      </c>
      <c r="E247">
        <v>6209746</v>
      </c>
      <c r="F247">
        <v>1</v>
      </c>
      <c r="G247">
        <v>2</v>
      </c>
      <c r="H247">
        <v>2</v>
      </c>
      <c r="I247">
        <v>5</v>
      </c>
      <c r="J247" t="str">
        <f>_xlfn.TEXTJOIN("-",,H247,I247)</f>
        <v>2-5</v>
      </c>
      <c r="K247" t="s">
        <v>24</v>
      </c>
      <c r="L247" t="s">
        <v>16</v>
      </c>
      <c r="M247" s="3">
        <v>0.41000001947395498</v>
      </c>
      <c r="N247" t="s">
        <v>17</v>
      </c>
    </row>
    <row r="248" spans="1:14" hidden="1" x14ac:dyDescent="0.2">
      <c r="A248" t="s">
        <v>21</v>
      </c>
      <c r="B248" t="s">
        <v>14</v>
      </c>
      <c r="C248" s="2">
        <v>35745</v>
      </c>
      <c r="D248">
        <v>694929</v>
      </c>
      <c r="E248">
        <v>6209746</v>
      </c>
      <c r="F248">
        <v>1</v>
      </c>
      <c r="G248">
        <v>1</v>
      </c>
      <c r="H248">
        <v>0</v>
      </c>
      <c r="I248">
        <v>2</v>
      </c>
      <c r="J248" t="str">
        <f>_xlfn.TEXTJOIN("-",,H248,I248)</f>
        <v>0-2</v>
      </c>
      <c r="K248" t="s">
        <v>15</v>
      </c>
      <c r="L248" t="s">
        <v>16</v>
      </c>
      <c r="M248" s="3">
        <v>6.6570003161905298</v>
      </c>
      <c r="N248" t="s">
        <v>17</v>
      </c>
    </row>
    <row r="249" spans="1:14" hidden="1" x14ac:dyDescent="0.2">
      <c r="A249" t="s">
        <v>18</v>
      </c>
      <c r="B249" t="s">
        <v>19</v>
      </c>
      <c r="C249" s="2">
        <v>35745</v>
      </c>
      <c r="D249">
        <v>692735</v>
      </c>
      <c r="E249">
        <v>6209960</v>
      </c>
      <c r="F249">
        <v>1</v>
      </c>
      <c r="G249">
        <v>2</v>
      </c>
      <c r="H249">
        <v>2</v>
      </c>
      <c r="I249">
        <v>5</v>
      </c>
      <c r="J249" t="str">
        <f>_xlfn.TEXTJOIN("-",,H249,I249)</f>
        <v>2-5</v>
      </c>
      <c r="K249" t="s">
        <v>24</v>
      </c>
      <c r="L249" t="s">
        <v>16</v>
      </c>
      <c r="M249" s="3">
        <v>25.800001225434201</v>
      </c>
      <c r="N249" t="s">
        <v>17</v>
      </c>
    </row>
    <row r="250" spans="1:14" hidden="1" x14ac:dyDescent="0.2">
      <c r="A250" t="s">
        <v>13</v>
      </c>
      <c r="B250" t="s">
        <v>14</v>
      </c>
      <c r="C250" s="2">
        <v>35745</v>
      </c>
      <c r="D250">
        <v>695956</v>
      </c>
      <c r="E250">
        <v>6208568</v>
      </c>
      <c r="F250">
        <v>1</v>
      </c>
      <c r="G250">
        <v>4</v>
      </c>
      <c r="H250">
        <v>10</v>
      </c>
      <c r="I250">
        <v>20</v>
      </c>
      <c r="J250" t="str">
        <f>_xlfn.TEXTJOIN("-",,H250,I250)</f>
        <v>10-20</v>
      </c>
      <c r="K250" t="s">
        <v>20</v>
      </c>
      <c r="L250" t="s">
        <v>16</v>
      </c>
      <c r="M250" s="3">
        <v>180.00000854954101</v>
      </c>
      <c r="N250" t="s">
        <v>17</v>
      </c>
    </row>
    <row r="251" spans="1:14" hidden="1" x14ac:dyDescent="0.2">
      <c r="A251" t="s">
        <v>18</v>
      </c>
      <c r="B251" t="s">
        <v>19</v>
      </c>
      <c r="C251" s="2">
        <v>35745</v>
      </c>
      <c r="D251">
        <v>692735</v>
      </c>
      <c r="E251">
        <v>6209960</v>
      </c>
      <c r="F251">
        <v>1</v>
      </c>
      <c r="G251">
        <v>3</v>
      </c>
      <c r="H251">
        <v>5</v>
      </c>
      <c r="I251">
        <v>10</v>
      </c>
      <c r="J251" t="str">
        <f>_xlfn.TEXTJOIN("-",,H251,I251)</f>
        <v>5-10</v>
      </c>
      <c r="K251" t="s">
        <v>20</v>
      </c>
      <c r="L251" t="s">
        <v>16</v>
      </c>
      <c r="M251" s="3">
        <v>150.00000712461801</v>
      </c>
      <c r="N251" t="s">
        <v>17</v>
      </c>
    </row>
    <row r="252" spans="1:14" hidden="1" x14ac:dyDescent="0.2">
      <c r="A252" t="s">
        <v>13</v>
      </c>
      <c r="B252" t="s">
        <v>14</v>
      </c>
      <c r="C252" s="2">
        <v>35745</v>
      </c>
      <c r="D252">
        <v>695956</v>
      </c>
      <c r="E252">
        <v>6208568</v>
      </c>
      <c r="F252">
        <v>1</v>
      </c>
      <c r="G252">
        <v>2</v>
      </c>
      <c r="H252">
        <v>2</v>
      </c>
      <c r="I252">
        <v>5</v>
      </c>
      <c r="J252" t="str">
        <f>_xlfn.TEXTJOIN("-",,H252,I252)</f>
        <v>2-5</v>
      </c>
      <c r="K252" t="s">
        <v>24</v>
      </c>
      <c r="L252" t="s">
        <v>16</v>
      </c>
      <c r="M252" s="3">
        <v>25.140001194085901</v>
      </c>
      <c r="N252" t="s">
        <v>17</v>
      </c>
    </row>
    <row r="253" spans="1:14" hidden="1" x14ac:dyDescent="0.2">
      <c r="A253" t="s">
        <v>18</v>
      </c>
      <c r="B253" t="s">
        <v>19</v>
      </c>
      <c r="C253" s="2">
        <v>34330</v>
      </c>
      <c r="D253">
        <v>692735</v>
      </c>
      <c r="E253">
        <v>6209960</v>
      </c>
      <c r="F253">
        <v>2</v>
      </c>
      <c r="G253">
        <v>6</v>
      </c>
      <c r="H253">
        <v>30</v>
      </c>
      <c r="I253">
        <v>38</v>
      </c>
      <c r="J253" t="str">
        <f>_xlfn.TEXTJOIN("-",,H253,I253)</f>
        <v>30-38</v>
      </c>
      <c r="K253" t="s">
        <v>27</v>
      </c>
      <c r="L253" t="s">
        <v>16</v>
      </c>
      <c r="M253" s="3">
        <v>0.59800002840347599</v>
      </c>
      <c r="N253" t="s">
        <v>17</v>
      </c>
    </row>
    <row r="254" spans="1:14" hidden="1" x14ac:dyDescent="0.2">
      <c r="A254" t="s">
        <v>18</v>
      </c>
      <c r="B254" t="s">
        <v>19</v>
      </c>
      <c r="C254" s="2">
        <v>35745</v>
      </c>
      <c r="D254">
        <v>692735</v>
      </c>
      <c r="E254">
        <v>6209960</v>
      </c>
      <c r="F254">
        <v>1</v>
      </c>
      <c r="G254">
        <v>6</v>
      </c>
      <c r="H254">
        <v>30</v>
      </c>
      <c r="I254">
        <v>43</v>
      </c>
      <c r="J254" t="str">
        <f>_xlfn.TEXTJOIN("-",,H254,I254)</f>
        <v>30-43</v>
      </c>
      <c r="K254" t="s">
        <v>25</v>
      </c>
      <c r="L254" t="s">
        <v>16</v>
      </c>
      <c r="M254" s="3">
        <v>17</v>
      </c>
      <c r="N254" t="s">
        <v>26</v>
      </c>
    </row>
    <row r="255" spans="1:14" hidden="1" x14ac:dyDescent="0.2">
      <c r="A255" t="s">
        <v>21</v>
      </c>
      <c r="B255" t="s">
        <v>14</v>
      </c>
      <c r="C255" s="2">
        <v>35745</v>
      </c>
      <c r="D255">
        <v>694929</v>
      </c>
      <c r="E255">
        <v>6209746</v>
      </c>
      <c r="F255">
        <v>1</v>
      </c>
      <c r="G255">
        <v>2</v>
      </c>
      <c r="H255">
        <v>2</v>
      </c>
      <c r="I255">
        <v>5</v>
      </c>
      <c r="J255" t="str">
        <f>_xlfn.TEXTJOIN("-",,H255,I255)</f>
        <v>2-5</v>
      </c>
      <c r="K255" t="s">
        <v>24</v>
      </c>
      <c r="L255" t="s">
        <v>16</v>
      </c>
      <c r="M255" s="3">
        <v>20.520000974647701</v>
      </c>
      <c r="N255" t="s">
        <v>17</v>
      </c>
    </row>
    <row r="256" spans="1:14" hidden="1" x14ac:dyDescent="0.2">
      <c r="A256" t="s">
        <v>21</v>
      </c>
      <c r="B256" t="s">
        <v>14</v>
      </c>
      <c r="C256" s="2">
        <v>35745</v>
      </c>
      <c r="D256">
        <v>694929</v>
      </c>
      <c r="E256">
        <v>6209746</v>
      </c>
      <c r="F256">
        <v>1</v>
      </c>
      <c r="G256">
        <v>5</v>
      </c>
      <c r="H256">
        <v>20</v>
      </c>
      <c r="I256">
        <v>30</v>
      </c>
      <c r="J256" t="str">
        <f>_xlfn.TEXTJOIN("-",,H256,I256)</f>
        <v>20-30</v>
      </c>
      <c r="K256" t="s">
        <v>22</v>
      </c>
      <c r="L256" t="s">
        <v>16</v>
      </c>
      <c r="M256" s="3">
        <v>9</v>
      </c>
      <c r="N256" t="s">
        <v>23</v>
      </c>
    </row>
    <row r="257" spans="1:14" hidden="1" x14ac:dyDescent="0.2">
      <c r="A257" t="s">
        <v>13</v>
      </c>
      <c r="B257" t="s">
        <v>14</v>
      </c>
      <c r="C257" s="2">
        <v>35745</v>
      </c>
      <c r="D257">
        <v>695956</v>
      </c>
      <c r="E257">
        <v>6208568</v>
      </c>
      <c r="F257">
        <v>1</v>
      </c>
      <c r="G257">
        <v>6</v>
      </c>
      <c r="H257">
        <v>30</v>
      </c>
      <c r="I257">
        <v>41</v>
      </c>
      <c r="J257" t="str">
        <f>_xlfn.TEXTJOIN("-",,H257,I257)</f>
        <v>30-41</v>
      </c>
      <c r="K257" t="s">
        <v>15</v>
      </c>
      <c r="L257" t="s">
        <v>16</v>
      </c>
      <c r="M257" s="3">
        <v>14.6000006934628</v>
      </c>
      <c r="N257" t="s">
        <v>17</v>
      </c>
    </row>
    <row r="258" spans="1:14" hidden="1" x14ac:dyDescent="0.2">
      <c r="A258" t="s">
        <v>18</v>
      </c>
      <c r="B258" t="s">
        <v>19</v>
      </c>
      <c r="C258" s="2">
        <v>34330</v>
      </c>
      <c r="D258">
        <v>692735</v>
      </c>
      <c r="E258">
        <v>6209960</v>
      </c>
      <c r="F258">
        <v>1</v>
      </c>
      <c r="G258">
        <v>6</v>
      </c>
      <c r="H258">
        <v>30</v>
      </c>
      <c r="I258">
        <v>38</v>
      </c>
      <c r="J258" t="str">
        <f>_xlfn.TEXTJOIN("-",,H258,I258)</f>
        <v>30-38</v>
      </c>
      <c r="K258" t="s">
        <v>27</v>
      </c>
      <c r="L258" t="s">
        <v>16</v>
      </c>
      <c r="M258" s="3">
        <v>1.2380000588018401</v>
      </c>
      <c r="N258" t="s">
        <v>17</v>
      </c>
    </row>
    <row r="259" spans="1:14" hidden="1" x14ac:dyDescent="0.2">
      <c r="A259" t="s">
        <v>13</v>
      </c>
      <c r="B259" t="s">
        <v>14</v>
      </c>
      <c r="C259" s="2">
        <v>35745</v>
      </c>
      <c r="D259">
        <v>695956</v>
      </c>
      <c r="E259">
        <v>6208568</v>
      </c>
      <c r="F259">
        <v>1</v>
      </c>
      <c r="G259">
        <v>5</v>
      </c>
      <c r="H259">
        <v>20</v>
      </c>
      <c r="I259">
        <v>30</v>
      </c>
      <c r="J259" t="str">
        <f>_xlfn.TEXTJOIN("-",,H259,I259)</f>
        <v>20-30</v>
      </c>
      <c r="K259" t="s">
        <v>22</v>
      </c>
      <c r="L259" t="s">
        <v>16</v>
      </c>
      <c r="M259" s="3">
        <v>9.6</v>
      </c>
      <c r="N259" t="s">
        <v>23</v>
      </c>
    </row>
    <row r="260" spans="1:14" hidden="1" x14ac:dyDescent="0.2">
      <c r="A260" t="s">
        <v>21</v>
      </c>
      <c r="B260" t="s">
        <v>14</v>
      </c>
      <c r="C260" s="2">
        <v>35745</v>
      </c>
      <c r="D260">
        <v>694929</v>
      </c>
      <c r="E260">
        <v>6209746</v>
      </c>
      <c r="F260">
        <v>1</v>
      </c>
      <c r="G260">
        <v>3</v>
      </c>
      <c r="H260">
        <v>5</v>
      </c>
      <c r="I260">
        <v>10</v>
      </c>
      <c r="J260" t="str">
        <f>_xlfn.TEXTJOIN("-",,H260,I260)</f>
        <v>5-10</v>
      </c>
      <c r="K260" t="s">
        <v>25</v>
      </c>
      <c r="L260" t="s">
        <v>16</v>
      </c>
      <c r="M260" s="3">
        <v>35</v>
      </c>
      <c r="N260" t="s">
        <v>26</v>
      </c>
    </row>
    <row r="261" spans="1:14" hidden="1" x14ac:dyDescent="0.2">
      <c r="A261" t="s">
        <v>13</v>
      </c>
      <c r="B261" t="s">
        <v>14</v>
      </c>
      <c r="C261" s="2">
        <v>35745</v>
      </c>
      <c r="D261">
        <v>695956</v>
      </c>
      <c r="E261">
        <v>6208568</v>
      </c>
      <c r="F261">
        <v>1</v>
      </c>
      <c r="G261">
        <v>1</v>
      </c>
      <c r="H261">
        <v>0</v>
      </c>
      <c r="I261">
        <v>2</v>
      </c>
      <c r="J261" t="str">
        <f>_xlfn.TEXTJOIN("-",,H261,I261)</f>
        <v>0-2</v>
      </c>
      <c r="K261" t="s">
        <v>20</v>
      </c>
      <c r="L261" t="s">
        <v>16</v>
      </c>
      <c r="M261" s="3">
        <v>160.00000759959201</v>
      </c>
      <c r="N261" t="s">
        <v>17</v>
      </c>
    </row>
    <row r="262" spans="1:14" hidden="1" x14ac:dyDescent="0.2">
      <c r="A262" t="s">
        <v>21</v>
      </c>
      <c r="B262" t="s">
        <v>14</v>
      </c>
      <c r="C262" s="2">
        <v>35745</v>
      </c>
      <c r="D262">
        <v>694929</v>
      </c>
      <c r="E262">
        <v>6209746</v>
      </c>
      <c r="F262">
        <v>1</v>
      </c>
      <c r="G262">
        <v>5</v>
      </c>
      <c r="H262">
        <v>20</v>
      </c>
      <c r="I262">
        <v>30</v>
      </c>
      <c r="J262" t="str">
        <f>_xlfn.TEXTJOIN("-",,H262,I262)</f>
        <v>20-30</v>
      </c>
      <c r="K262" t="s">
        <v>20</v>
      </c>
      <c r="L262" t="s">
        <v>16</v>
      </c>
      <c r="M262" s="3">
        <v>170.00000807456701</v>
      </c>
      <c r="N262" t="s">
        <v>17</v>
      </c>
    </row>
    <row r="263" spans="1:14" hidden="1" x14ac:dyDescent="0.2">
      <c r="A263" t="s">
        <v>13</v>
      </c>
      <c r="B263" t="s">
        <v>14</v>
      </c>
      <c r="C263" s="2">
        <v>35745</v>
      </c>
      <c r="D263">
        <v>695956</v>
      </c>
      <c r="E263">
        <v>6208568</v>
      </c>
      <c r="F263">
        <v>1</v>
      </c>
      <c r="G263">
        <v>2</v>
      </c>
      <c r="H263">
        <v>2</v>
      </c>
      <c r="I263">
        <v>5</v>
      </c>
      <c r="J263" t="str">
        <f>_xlfn.TEXTJOIN("-",,H263,I263)</f>
        <v>2-5</v>
      </c>
      <c r="K263" t="s">
        <v>20</v>
      </c>
      <c r="L263" t="s">
        <v>16</v>
      </c>
      <c r="M263" s="3">
        <v>179.95400854735601</v>
      </c>
      <c r="N263" t="s">
        <v>17</v>
      </c>
    </row>
    <row r="264" spans="1:14" hidden="1" x14ac:dyDescent="0.2">
      <c r="A264" t="s">
        <v>13</v>
      </c>
      <c r="B264" t="s">
        <v>14</v>
      </c>
      <c r="C264" s="2">
        <v>37565</v>
      </c>
      <c r="D264">
        <v>695956</v>
      </c>
      <c r="E264">
        <v>6208568</v>
      </c>
      <c r="F264">
        <v>1</v>
      </c>
      <c r="G264">
        <v>2</v>
      </c>
      <c r="H264">
        <v>2</v>
      </c>
      <c r="I264">
        <v>5</v>
      </c>
      <c r="J264" t="str">
        <f>_xlfn.TEXTJOIN("-",,H264,I264)</f>
        <v>2-5</v>
      </c>
      <c r="K264" t="s">
        <v>24</v>
      </c>
      <c r="L264" t="s">
        <v>16</v>
      </c>
      <c r="M264" s="3">
        <v>10.800000512972501</v>
      </c>
      <c r="N264" t="s">
        <v>17</v>
      </c>
    </row>
    <row r="265" spans="1:14" hidden="1" x14ac:dyDescent="0.2">
      <c r="A265" t="s">
        <v>13</v>
      </c>
      <c r="B265" t="s">
        <v>14</v>
      </c>
      <c r="C265" s="2">
        <v>35745</v>
      </c>
      <c r="D265">
        <v>695956</v>
      </c>
      <c r="E265">
        <v>6208568</v>
      </c>
      <c r="F265">
        <v>1</v>
      </c>
      <c r="G265">
        <v>4</v>
      </c>
      <c r="H265">
        <v>10</v>
      </c>
      <c r="I265">
        <v>20</v>
      </c>
      <c r="J265" t="str">
        <f>_xlfn.TEXTJOIN("-",,H265,I265)</f>
        <v>10-20</v>
      </c>
      <c r="K265" t="s">
        <v>22</v>
      </c>
      <c r="L265" t="s">
        <v>16</v>
      </c>
      <c r="M265" s="3">
        <v>6.1</v>
      </c>
      <c r="N265" t="s">
        <v>23</v>
      </c>
    </row>
    <row r="266" spans="1:14" hidden="1" x14ac:dyDescent="0.2">
      <c r="A266" t="s">
        <v>18</v>
      </c>
      <c r="B266" t="s">
        <v>19</v>
      </c>
      <c r="C266" s="2">
        <v>35745</v>
      </c>
      <c r="D266">
        <v>692735</v>
      </c>
      <c r="E266">
        <v>6209960</v>
      </c>
      <c r="F266">
        <v>1</v>
      </c>
      <c r="G266">
        <v>4</v>
      </c>
      <c r="H266">
        <v>10</v>
      </c>
      <c r="I266">
        <v>20</v>
      </c>
      <c r="J266" t="str">
        <f>_xlfn.TEXTJOIN("-",,H266,I266)</f>
        <v>10-20</v>
      </c>
      <c r="K266" t="s">
        <v>25</v>
      </c>
      <c r="L266" t="s">
        <v>16</v>
      </c>
      <c r="M266" s="3">
        <v>34</v>
      </c>
      <c r="N266" t="s">
        <v>26</v>
      </c>
    </row>
    <row r="267" spans="1:14" hidden="1" x14ac:dyDescent="0.2">
      <c r="A267" t="s">
        <v>13</v>
      </c>
      <c r="B267" t="s">
        <v>14</v>
      </c>
      <c r="C267" s="2">
        <v>35745</v>
      </c>
      <c r="D267">
        <v>695956</v>
      </c>
      <c r="E267">
        <v>6208568</v>
      </c>
      <c r="F267">
        <v>1</v>
      </c>
      <c r="G267">
        <v>6</v>
      </c>
      <c r="H267">
        <v>30</v>
      </c>
      <c r="I267">
        <v>41</v>
      </c>
      <c r="J267" t="str">
        <f>_xlfn.TEXTJOIN("-",,H267,I267)</f>
        <v>30-41</v>
      </c>
      <c r="K267" t="s">
        <v>22</v>
      </c>
      <c r="L267" t="s">
        <v>16</v>
      </c>
      <c r="M267" s="3">
        <v>13</v>
      </c>
      <c r="N267" t="s">
        <v>23</v>
      </c>
    </row>
    <row r="268" spans="1:14" hidden="1" x14ac:dyDescent="0.2">
      <c r="A268" t="s">
        <v>13</v>
      </c>
      <c r="B268" t="s">
        <v>14</v>
      </c>
      <c r="C268" s="2">
        <v>35745</v>
      </c>
      <c r="D268">
        <v>695956</v>
      </c>
      <c r="E268">
        <v>6208568</v>
      </c>
      <c r="F268">
        <v>1</v>
      </c>
      <c r="G268">
        <v>3</v>
      </c>
      <c r="H268">
        <v>5</v>
      </c>
      <c r="I268">
        <v>10</v>
      </c>
      <c r="J268" t="str">
        <f>_xlfn.TEXTJOIN("-",,H268,I268)</f>
        <v>5-10</v>
      </c>
      <c r="K268" t="s">
        <v>22</v>
      </c>
      <c r="L268" t="s">
        <v>16</v>
      </c>
      <c r="M268" s="3">
        <v>4.2</v>
      </c>
      <c r="N268" t="s">
        <v>23</v>
      </c>
    </row>
    <row r="269" spans="1:14" hidden="1" x14ac:dyDescent="0.2">
      <c r="A269" t="s">
        <v>18</v>
      </c>
      <c r="B269" t="s">
        <v>19</v>
      </c>
      <c r="C269" s="2">
        <v>37565</v>
      </c>
      <c r="D269">
        <v>692735</v>
      </c>
      <c r="E269">
        <v>6209960</v>
      </c>
      <c r="F269">
        <v>1</v>
      </c>
      <c r="G269">
        <v>2</v>
      </c>
      <c r="H269">
        <v>2</v>
      </c>
      <c r="I269">
        <v>5</v>
      </c>
      <c r="J269" t="str">
        <f>_xlfn.TEXTJOIN("-",,H269,I269)</f>
        <v>2-5</v>
      </c>
      <c r="K269" t="s">
        <v>24</v>
      </c>
      <c r="L269" t="s">
        <v>16</v>
      </c>
      <c r="M269" s="3">
        <v>10.700000508222701</v>
      </c>
      <c r="N269" t="s">
        <v>17</v>
      </c>
    </row>
    <row r="270" spans="1:14" hidden="1" x14ac:dyDescent="0.2">
      <c r="A270" t="s">
        <v>18</v>
      </c>
      <c r="B270" t="s">
        <v>19</v>
      </c>
      <c r="C270" s="2">
        <v>34330</v>
      </c>
      <c r="D270">
        <v>692735</v>
      </c>
      <c r="E270">
        <v>6209960</v>
      </c>
      <c r="F270">
        <v>2</v>
      </c>
      <c r="G270">
        <v>4</v>
      </c>
      <c r="H270">
        <v>10</v>
      </c>
      <c r="I270">
        <v>20</v>
      </c>
      <c r="J270" t="str">
        <f>_xlfn.TEXTJOIN("-",,H270,I270)</f>
        <v>10-20</v>
      </c>
      <c r="K270" t="s">
        <v>27</v>
      </c>
      <c r="L270" t="s">
        <v>16</v>
      </c>
      <c r="M270" s="3">
        <v>0.57700002740602896</v>
      </c>
      <c r="N270" t="s">
        <v>17</v>
      </c>
    </row>
    <row r="271" spans="1:14" hidden="1" x14ac:dyDescent="0.2">
      <c r="A271" t="s">
        <v>18</v>
      </c>
      <c r="B271" t="s">
        <v>19</v>
      </c>
      <c r="C271" s="2">
        <v>35745</v>
      </c>
      <c r="D271">
        <v>692735</v>
      </c>
      <c r="E271">
        <v>6209960</v>
      </c>
      <c r="F271">
        <v>1</v>
      </c>
      <c r="G271">
        <v>6</v>
      </c>
      <c r="H271">
        <v>30</v>
      </c>
      <c r="I271">
        <v>43</v>
      </c>
      <c r="J271" t="str">
        <f>_xlfn.TEXTJOIN("-",,H271,I271)</f>
        <v>30-43</v>
      </c>
      <c r="K271" t="s">
        <v>20</v>
      </c>
      <c r="L271" t="s">
        <v>16</v>
      </c>
      <c r="M271" s="3">
        <v>130.00000617466901</v>
      </c>
      <c r="N271" t="s">
        <v>17</v>
      </c>
    </row>
    <row r="272" spans="1:14" hidden="1" x14ac:dyDescent="0.2">
      <c r="A272" t="s">
        <v>13</v>
      </c>
      <c r="B272" t="s">
        <v>14</v>
      </c>
      <c r="C272" s="2">
        <v>35745</v>
      </c>
      <c r="D272">
        <v>695956</v>
      </c>
      <c r="E272">
        <v>6208568</v>
      </c>
      <c r="F272">
        <v>1</v>
      </c>
      <c r="G272">
        <v>4</v>
      </c>
      <c r="H272">
        <v>10</v>
      </c>
      <c r="I272">
        <v>20</v>
      </c>
      <c r="J272" t="str">
        <f>_xlfn.TEXTJOIN("-",,H272,I272)</f>
        <v>10-20</v>
      </c>
      <c r="K272" t="s">
        <v>15</v>
      </c>
      <c r="L272" t="s">
        <v>16</v>
      </c>
      <c r="M272" s="3">
        <v>9.1000004322268104</v>
      </c>
      <c r="N272" t="s">
        <v>17</v>
      </c>
    </row>
    <row r="273" spans="1:14" hidden="1" x14ac:dyDescent="0.2">
      <c r="A273" t="s">
        <v>21</v>
      </c>
      <c r="B273" t="s">
        <v>14</v>
      </c>
      <c r="C273" s="2">
        <v>37565</v>
      </c>
      <c r="D273">
        <v>694929</v>
      </c>
      <c r="E273">
        <v>6209746</v>
      </c>
      <c r="F273">
        <v>1</v>
      </c>
      <c r="G273">
        <v>2</v>
      </c>
      <c r="H273">
        <v>2</v>
      </c>
      <c r="I273">
        <v>5</v>
      </c>
      <c r="J273" t="str">
        <f>_xlfn.TEXTJOIN("-",,H273,I273)</f>
        <v>2-5</v>
      </c>
      <c r="K273" t="s">
        <v>24</v>
      </c>
      <c r="L273" t="s">
        <v>16</v>
      </c>
      <c r="M273" s="3">
        <v>14.7000006982125</v>
      </c>
      <c r="N273" t="s">
        <v>17</v>
      </c>
    </row>
    <row r="274" spans="1:14" hidden="1" x14ac:dyDescent="0.2">
      <c r="A274" t="s">
        <v>21</v>
      </c>
      <c r="B274" t="s">
        <v>14</v>
      </c>
      <c r="C274" s="2">
        <v>35745</v>
      </c>
      <c r="D274">
        <v>694929</v>
      </c>
      <c r="E274">
        <v>6209746</v>
      </c>
      <c r="F274">
        <v>1</v>
      </c>
      <c r="G274">
        <v>3</v>
      </c>
      <c r="H274">
        <v>5</v>
      </c>
      <c r="I274">
        <v>10</v>
      </c>
      <c r="J274" t="str">
        <f>_xlfn.TEXTJOIN("-",,H274,I274)</f>
        <v>5-10</v>
      </c>
      <c r="K274" t="s">
        <v>22</v>
      </c>
      <c r="L274" t="s">
        <v>16</v>
      </c>
      <c r="M274" s="3">
        <v>6.5</v>
      </c>
      <c r="N274" t="s">
        <v>23</v>
      </c>
    </row>
    <row r="275" spans="1:14" hidden="1" x14ac:dyDescent="0.2">
      <c r="A275" t="s">
        <v>13</v>
      </c>
      <c r="B275" t="s">
        <v>14</v>
      </c>
      <c r="C275" s="2">
        <v>35745</v>
      </c>
      <c r="D275">
        <v>695956</v>
      </c>
      <c r="E275">
        <v>6208568</v>
      </c>
      <c r="F275">
        <v>1</v>
      </c>
      <c r="G275">
        <v>4</v>
      </c>
      <c r="H275">
        <v>10</v>
      </c>
      <c r="I275">
        <v>20</v>
      </c>
      <c r="J275" t="str">
        <f>_xlfn.TEXTJOIN("-",,H275,I275)</f>
        <v>10-20</v>
      </c>
      <c r="K275" t="s">
        <v>27</v>
      </c>
      <c r="L275" t="s">
        <v>16</v>
      </c>
      <c r="M275" s="3">
        <v>1.8000000854954099</v>
      </c>
      <c r="N275" t="s">
        <v>17</v>
      </c>
    </row>
    <row r="276" spans="1:14" hidden="1" x14ac:dyDescent="0.2">
      <c r="A276" t="s">
        <v>13</v>
      </c>
      <c r="B276" t="s">
        <v>14</v>
      </c>
      <c r="C276" s="2">
        <v>37565</v>
      </c>
      <c r="D276">
        <v>695956</v>
      </c>
      <c r="E276">
        <v>6208568</v>
      </c>
      <c r="F276">
        <v>1</v>
      </c>
      <c r="G276">
        <v>5</v>
      </c>
      <c r="H276">
        <v>20</v>
      </c>
      <c r="I276">
        <v>30</v>
      </c>
      <c r="J276" t="str">
        <f>_xlfn.TEXTJOIN("-",,H276,I276)</f>
        <v>20-30</v>
      </c>
      <c r="K276" t="s">
        <v>20</v>
      </c>
      <c r="L276" t="s">
        <v>16</v>
      </c>
      <c r="M276" s="3">
        <v>64.500003063585595</v>
      </c>
      <c r="N276" t="s">
        <v>17</v>
      </c>
    </row>
    <row r="277" spans="1:14" hidden="1" x14ac:dyDescent="0.2">
      <c r="A277" t="s">
        <v>21</v>
      </c>
      <c r="B277" t="s">
        <v>14</v>
      </c>
      <c r="C277" s="2">
        <v>37565</v>
      </c>
      <c r="D277">
        <v>694929</v>
      </c>
      <c r="E277">
        <v>6209746</v>
      </c>
      <c r="F277">
        <v>1</v>
      </c>
      <c r="G277">
        <v>1</v>
      </c>
      <c r="H277">
        <v>0</v>
      </c>
      <c r="I277">
        <v>2</v>
      </c>
      <c r="J277" t="str">
        <f>_xlfn.TEXTJOIN("-",,H277,I277)</f>
        <v>0-2</v>
      </c>
      <c r="K277" t="s">
        <v>22</v>
      </c>
      <c r="L277" t="s">
        <v>16</v>
      </c>
      <c r="M277" s="3">
        <v>4.1100000000000003</v>
      </c>
      <c r="N277" t="s">
        <v>23</v>
      </c>
    </row>
    <row r="278" spans="1:14" hidden="1" x14ac:dyDescent="0.2">
      <c r="A278" t="s">
        <v>18</v>
      </c>
      <c r="B278" t="s">
        <v>19</v>
      </c>
      <c r="C278" s="2">
        <v>35745</v>
      </c>
      <c r="D278">
        <v>692735</v>
      </c>
      <c r="E278">
        <v>6209960</v>
      </c>
      <c r="F278">
        <v>1</v>
      </c>
      <c r="G278">
        <v>5</v>
      </c>
      <c r="H278">
        <v>20</v>
      </c>
      <c r="I278">
        <v>30</v>
      </c>
      <c r="J278" t="str">
        <f>_xlfn.TEXTJOIN("-",,H278,I278)</f>
        <v>20-30</v>
      </c>
      <c r="K278" t="s">
        <v>27</v>
      </c>
      <c r="L278" t="s">
        <v>16</v>
      </c>
      <c r="M278" s="3">
        <v>1.1100000527221701</v>
      </c>
      <c r="N278" t="s">
        <v>17</v>
      </c>
    </row>
    <row r="279" spans="1:14" hidden="1" x14ac:dyDescent="0.2">
      <c r="A279" t="s">
        <v>13</v>
      </c>
      <c r="B279" t="s">
        <v>14</v>
      </c>
      <c r="C279" s="2">
        <v>35745</v>
      </c>
      <c r="D279">
        <v>695956</v>
      </c>
      <c r="E279">
        <v>6208568</v>
      </c>
      <c r="F279">
        <v>1</v>
      </c>
      <c r="G279">
        <v>5</v>
      </c>
      <c r="H279">
        <v>20</v>
      </c>
      <c r="I279">
        <v>30</v>
      </c>
      <c r="J279" t="str">
        <f>_xlfn.TEXTJOIN("-",,H279,I279)</f>
        <v>20-30</v>
      </c>
      <c r="K279" t="s">
        <v>27</v>
      </c>
      <c r="L279" t="s">
        <v>16</v>
      </c>
      <c r="M279" s="3">
        <v>1.4900000707712</v>
      </c>
      <c r="N279" t="s">
        <v>17</v>
      </c>
    </row>
    <row r="280" spans="1:14" hidden="1" x14ac:dyDescent="0.2">
      <c r="A280" t="s">
        <v>21</v>
      </c>
      <c r="B280" t="s">
        <v>14</v>
      </c>
      <c r="C280" s="2">
        <v>37565</v>
      </c>
      <c r="D280">
        <v>694929</v>
      </c>
      <c r="E280">
        <v>6209746</v>
      </c>
      <c r="F280">
        <v>1</v>
      </c>
      <c r="G280">
        <v>4</v>
      </c>
      <c r="H280">
        <v>10</v>
      </c>
      <c r="I280">
        <v>20</v>
      </c>
      <c r="J280" t="str">
        <f>_xlfn.TEXTJOIN("-",,H280,I280)</f>
        <v>10-20</v>
      </c>
      <c r="K280" t="s">
        <v>20</v>
      </c>
      <c r="L280" t="s">
        <v>16</v>
      </c>
      <c r="M280" s="3">
        <v>173.00000821705899</v>
      </c>
      <c r="N280" t="s">
        <v>17</v>
      </c>
    </row>
    <row r="281" spans="1:14" hidden="1" x14ac:dyDescent="0.2">
      <c r="A281" t="s">
        <v>21</v>
      </c>
      <c r="B281" t="s">
        <v>14</v>
      </c>
      <c r="C281" s="2">
        <v>35745</v>
      </c>
      <c r="D281">
        <v>694929</v>
      </c>
      <c r="E281">
        <v>6209746</v>
      </c>
      <c r="F281">
        <v>1</v>
      </c>
      <c r="G281">
        <v>5</v>
      </c>
      <c r="H281">
        <v>20</v>
      </c>
      <c r="I281">
        <v>30</v>
      </c>
      <c r="J281" t="str">
        <f>_xlfn.TEXTJOIN("-",,H281,I281)</f>
        <v>20-30</v>
      </c>
      <c r="K281" t="s">
        <v>27</v>
      </c>
      <c r="L281" t="s">
        <v>16</v>
      </c>
      <c r="M281" s="3">
        <v>1.8300000869203401</v>
      </c>
      <c r="N281" t="s">
        <v>17</v>
      </c>
    </row>
    <row r="282" spans="1:14" hidden="1" x14ac:dyDescent="0.2">
      <c r="A282" t="s">
        <v>18</v>
      </c>
      <c r="B282" t="s">
        <v>19</v>
      </c>
      <c r="C282" s="2">
        <v>37565</v>
      </c>
      <c r="D282">
        <v>692735</v>
      </c>
      <c r="E282">
        <v>6209960</v>
      </c>
      <c r="F282">
        <v>1</v>
      </c>
      <c r="G282">
        <v>4</v>
      </c>
      <c r="H282">
        <v>10</v>
      </c>
      <c r="I282">
        <v>20</v>
      </c>
      <c r="J282" t="str">
        <f>_xlfn.TEXTJOIN("-",,H282,I282)</f>
        <v>10-20</v>
      </c>
      <c r="K282" t="s">
        <v>15</v>
      </c>
      <c r="L282" t="s">
        <v>16</v>
      </c>
      <c r="M282" s="3">
        <v>12.4000005889684</v>
      </c>
      <c r="N282" t="s">
        <v>17</v>
      </c>
    </row>
    <row r="283" spans="1:14" x14ac:dyDescent="0.2">
      <c r="A283" t="s">
        <v>18</v>
      </c>
      <c r="B283" t="s">
        <v>19</v>
      </c>
      <c r="C283" s="2">
        <v>34330</v>
      </c>
      <c r="D283">
        <v>692735</v>
      </c>
      <c r="E283">
        <v>6209960</v>
      </c>
      <c r="F283">
        <v>2</v>
      </c>
      <c r="G283">
        <v>2</v>
      </c>
      <c r="H283">
        <v>2</v>
      </c>
      <c r="I283">
        <v>5</v>
      </c>
      <c r="J283" t="str">
        <f>_xlfn.TEXTJOIN("-",,H283,I283)</f>
        <v>2-5</v>
      </c>
      <c r="K283" t="s">
        <v>27</v>
      </c>
      <c r="L283" t="s">
        <v>16</v>
      </c>
      <c r="M283" s="3">
        <v>0.44800002127885802</v>
      </c>
      <c r="N283" t="s">
        <v>17</v>
      </c>
    </row>
    <row r="284" spans="1:14" hidden="1" x14ac:dyDescent="0.2">
      <c r="A284" t="s">
        <v>21</v>
      </c>
      <c r="B284" t="s">
        <v>14</v>
      </c>
      <c r="C284" s="2">
        <v>37565</v>
      </c>
      <c r="D284">
        <v>694929</v>
      </c>
      <c r="E284">
        <v>6209746</v>
      </c>
      <c r="F284">
        <v>1</v>
      </c>
      <c r="G284">
        <v>5</v>
      </c>
      <c r="H284">
        <v>20</v>
      </c>
      <c r="I284">
        <v>30</v>
      </c>
      <c r="J284" t="str">
        <f>_xlfn.TEXTJOIN("-",,H284,I284)</f>
        <v>20-30</v>
      </c>
      <c r="K284" t="s">
        <v>22</v>
      </c>
      <c r="L284" t="s">
        <v>16</v>
      </c>
      <c r="M284" s="3">
        <v>14.5</v>
      </c>
      <c r="N284" t="s">
        <v>23</v>
      </c>
    </row>
    <row r="285" spans="1:14" hidden="1" x14ac:dyDescent="0.2">
      <c r="A285" t="s">
        <v>21</v>
      </c>
      <c r="B285" t="s">
        <v>14</v>
      </c>
      <c r="C285" s="2">
        <v>37565</v>
      </c>
      <c r="D285">
        <v>694929</v>
      </c>
      <c r="E285">
        <v>6209746</v>
      </c>
      <c r="F285">
        <v>1</v>
      </c>
      <c r="G285">
        <v>6</v>
      </c>
      <c r="H285">
        <v>30</v>
      </c>
      <c r="I285">
        <v>50</v>
      </c>
      <c r="J285" t="str">
        <f>_xlfn.TEXTJOIN("-",,H285,I285)</f>
        <v>30-50</v>
      </c>
      <c r="K285" t="s">
        <v>20</v>
      </c>
      <c r="L285" t="s">
        <v>16</v>
      </c>
      <c r="M285" s="3">
        <v>106.00000503472999</v>
      </c>
      <c r="N285" t="s">
        <v>17</v>
      </c>
    </row>
    <row r="286" spans="1:14" x14ac:dyDescent="0.2">
      <c r="A286" t="s">
        <v>21</v>
      </c>
      <c r="B286" t="s">
        <v>14</v>
      </c>
      <c r="C286" s="2">
        <v>34330</v>
      </c>
      <c r="D286">
        <v>694929</v>
      </c>
      <c r="E286">
        <v>6209746</v>
      </c>
      <c r="F286">
        <v>1</v>
      </c>
      <c r="G286">
        <v>2</v>
      </c>
      <c r="H286">
        <v>2</v>
      </c>
      <c r="I286">
        <v>5</v>
      </c>
      <c r="J286" t="str">
        <f>_xlfn.TEXTJOIN("-",,H286,I286)</f>
        <v>2-5</v>
      </c>
      <c r="K286" t="s">
        <v>27</v>
      </c>
      <c r="L286" t="s">
        <v>16</v>
      </c>
      <c r="M286" s="3">
        <v>0.41000001947395498</v>
      </c>
      <c r="N286" t="s">
        <v>17</v>
      </c>
    </row>
    <row r="287" spans="1:14" hidden="1" x14ac:dyDescent="0.2">
      <c r="A287" t="s">
        <v>13</v>
      </c>
      <c r="B287" t="s">
        <v>14</v>
      </c>
      <c r="C287" s="2">
        <v>37565</v>
      </c>
      <c r="D287">
        <v>695956</v>
      </c>
      <c r="E287">
        <v>6208568</v>
      </c>
      <c r="F287">
        <v>1</v>
      </c>
      <c r="G287">
        <v>4</v>
      </c>
      <c r="H287">
        <v>10</v>
      </c>
      <c r="I287">
        <v>20</v>
      </c>
      <c r="J287" t="str">
        <f>_xlfn.TEXTJOIN("-",,H287,I287)</f>
        <v>10-20</v>
      </c>
      <c r="K287" t="s">
        <v>25</v>
      </c>
      <c r="L287" t="s">
        <v>16</v>
      </c>
      <c r="M287" s="3">
        <v>18.100000000000001</v>
      </c>
      <c r="N287" t="s">
        <v>26</v>
      </c>
    </row>
    <row r="288" spans="1:14" hidden="1" x14ac:dyDescent="0.2">
      <c r="A288" t="s">
        <v>21</v>
      </c>
      <c r="B288" t="s">
        <v>14</v>
      </c>
      <c r="C288" s="2">
        <v>35745</v>
      </c>
      <c r="D288">
        <v>694929</v>
      </c>
      <c r="E288">
        <v>6209746</v>
      </c>
      <c r="F288">
        <v>1</v>
      </c>
      <c r="G288">
        <v>6</v>
      </c>
      <c r="H288">
        <v>30</v>
      </c>
      <c r="I288">
        <v>39</v>
      </c>
      <c r="J288" t="str">
        <f>_xlfn.TEXTJOIN("-",,H288,I288)</f>
        <v>30-39</v>
      </c>
      <c r="K288" t="s">
        <v>27</v>
      </c>
      <c r="L288" t="s">
        <v>16</v>
      </c>
      <c r="M288" s="3">
        <v>1.07000005082227</v>
      </c>
      <c r="N288" t="s">
        <v>17</v>
      </c>
    </row>
    <row r="289" spans="1:14" hidden="1" x14ac:dyDescent="0.2">
      <c r="A289" t="s">
        <v>18</v>
      </c>
      <c r="B289" t="s">
        <v>19</v>
      </c>
      <c r="C289" s="2">
        <v>37565</v>
      </c>
      <c r="D289">
        <v>692735</v>
      </c>
      <c r="E289">
        <v>6209960</v>
      </c>
      <c r="F289">
        <v>1</v>
      </c>
      <c r="G289">
        <v>4</v>
      </c>
      <c r="H289">
        <v>10</v>
      </c>
      <c r="I289">
        <v>20</v>
      </c>
      <c r="J289" t="str">
        <f>_xlfn.TEXTJOIN("-",,H289,I289)</f>
        <v>10-20</v>
      </c>
      <c r="K289" t="s">
        <v>25</v>
      </c>
      <c r="L289" t="s">
        <v>16</v>
      </c>
      <c r="M289" s="3">
        <v>17.600000000000001</v>
      </c>
      <c r="N289" t="s">
        <v>26</v>
      </c>
    </row>
    <row r="290" spans="1:14" hidden="1" x14ac:dyDescent="0.2">
      <c r="A290" t="s">
        <v>21</v>
      </c>
      <c r="B290" t="s">
        <v>14</v>
      </c>
      <c r="C290" s="2">
        <v>37565</v>
      </c>
      <c r="D290">
        <v>694929</v>
      </c>
      <c r="E290">
        <v>6209746</v>
      </c>
      <c r="F290">
        <v>1</v>
      </c>
      <c r="G290">
        <v>3</v>
      </c>
      <c r="H290">
        <v>5</v>
      </c>
      <c r="I290">
        <v>10</v>
      </c>
      <c r="J290" t="str">
        <f>_xlfn.TEXTJOIN("-",,H290,I290)</f>
        <v>5-10</v>
      </c>
      <c r="K290" t="s">
        <v>25</v>
      </c>
      <c r="L290" t="s">
        <v>16</v>
      </c>
      <c r="M290" s="3">
        <v>20.3</v>
      </c>
      <c r="N290" t="s">
        <v>26</v>
      </c>
    </row>
    <row r="291" spans="1:14" hidden="1" x14ac:dyDescent="0.2">
      <c r="A291" t="s">
        <v>18</v>
      </c>
      <c r="B291" t="s">
        <v>19</v>
      </c>
      <c r="C291" s="2">
        <v>37565</v>
      </c>
      <c r="D291">
        <v>692735</v>
      </c>
      <c r="E291">
        <v>6209960</v>
      </c>
      <c r="F291">
        <v>1</v>
      </c>
      <c r="G291">
        <v>5</v>
      </c>
      <c r="H291">
        <v>20</v>
      </c>
      <c r="I291">
        <v>30</v>
      </c>
      <c r="J291" t="str">
        <f>_xlfn.TEXTJOIN("-",,H291,I291)</f>
        <v>20-30</v>
      </c>
      <c r="K291" t="s">
        <v>20</v>
      </c>
      <c r="L291" t="s">
        <v>16</v>
      </c>
      <c r="M291" s="3">
        <v>158.00000750459699</v>
      </c>
      <c r="N291" t="s">
        <v>17</v>
      </c>
    </row>
    <row r="292" spans="1:14" hidden="1" x14ac:dyDescent="0.2">
      <c r="A292" t="s">
        <v>18</v>
      </c>
      <c r="B292" t="s">
        <v>19</v>
      </c>
      <c r="C292" s="2">
        <v>37565</v>
      </c>
      <c r="D292">
        <v>692735</v>
      </c>
      <c r="E292">
        <v>6209960</v>
      </c>
      <c r="F292">
        <v>1</v>
      </c>
      <c r="G292">
        <v>2</v>
      </c>
      <c r="H292">
        <v>2</v>
      </c>
      <c r="I292">
        <v>5</v>
      </c>
      <c r="J292" t="str">
        <f>_xlfn.TEXTJOIN("-",,H292,I292)</f>
        <v>2-5</v>
      </c>
      <c r="K292" t="s">
        <v>25</v>
      </c>
      <c r="L292" t="s">
        <v>16</v>
      </c>
      <c r="M292" s="3">
        <v>19.8</v>
      </c>
      <c r="N292" t="s">
        <v>26</v>
      </c>
    </row>
    <row r="293" spans="1:14" hidden="1" x14ac:dyDescent="0.2">
      <c r="A293" t="s">
        <v>13</v>
      </c>
      <c r="B293" t="s">
        <v>14</v>
      </c>
      <c r="C293" s="2">
        <v>37565</v>
      </c>
      <c r="D293">
        <v>695956</v>
      </c>
      <c r="E293">
        <v>6208568</v>
      </c>
      <c r="F293">
        <v>1</v>
      </c>
      <c r="G293">
        <v>2</v>
      </c>
      <c r="H293">
        <v>2</v>
      </c>
      <c r="I293">
        <v>5</v>
      </c>
      <c r="J293" t="str">
        <f>_xlfn.TEXTJOIN("-",,H293,I293)</f>
        <v>2-5</v>
      </c>
      <c r="K293" t="s">
        <v>15</v>
      </c>
      <c r="L293" t="s">
        <v>16</v>
      </c>
      <c r="M293" s="3">
        <v>14.000000664964301</v>
      </c>
      <c r="N293" t="s">
        <v>17</v>
      </c>
    </row>
    <row r="294" spans="1:14" hidden="1" x14ac:dyDescent="0.2">
      <c r="A294" t="s">
        <v>13</v>
      </c>
      <c r="B294" t="s">
        <v>14</v>
      </c>
      <c r="C294" s="2">
        <v>37565</v>
      </c>
      <c r="D294">
        <v>695956</v>
      </c>
      <c r="E294">
        <v>6208568</v>
      </c>
      <c r="F294">
        <v>1</v>
      </c>
      <c r="G294">
        <v>2</v>
      </c>
      <c r="H294">
        <v>2</v>
      </c>
      <c r="I294">
        <v>5</v>
      </c>
      <c r="J294" t="str">
        <f>_xlfn.TEXTJOIN("-",,H294,I294)</f>
        <v>2-5</v>
      </c>
      <c r="K294" t="s">
        <v>25</v>
      </c>
      <c r="L294" t="s">
        <v>16</v>
      </c>
      <c r="M294" s="3">
        <v>21</v>
      </c>
      <c r="N294" t="s">
        <v>26</v>
      </c>
    </row>
    <row r="295" spans="1:14" hidden="1" x14ac:dyDescent="0.2">
      <c r="A295" t="s">
        <v>18</v>
      </c>
      <c r="B295" t="s">
        <v>19</v>
      </c>
      <c r="C295" s="2">
        <v>37565</v>
      </c>
      <c r="D295">
        <v>692735</v>
      </c>
      <c r="E295">
        <v>6209960</v>
      </c>
      <c r="F295">
        <v>1</v>
      </c>
      <c r="G295">
        <v>3</v>
      </c>
      <c r="H295">
        <v>5</v>
      </c>
      <c r="I295">
        <v>10</v>
      </c>
      <c r="J295" t="str">
        <f>_xlfn.TEXTJOIN("-",,H295,I295)</f>
        <v>5-10</v>
      </c>
      <c r="K295" t="s">
        <v>25</v>
      </c>
      <c r="L295" t="s">
        <v>16</v>
      </c>
      <c r="M295" s="3">
        <v>16.600000000000001</v>
      </c>
      <c r="N295" t="s">
        <v>26</v>
      </c>
    </row>
    <row r="296" spans="1:14" hidden="1" x14ac:dyDescent="0.2">
      <c r="A296" t="s">
        <v>21</v>
      </c>
      <c r="B296" t="s">
        <v>14</v>
      </c>
      <c r="C296" s="2">
        <v>35745</v>
      </c>
      <c r="D296">
        <v>694929</v>
      </c>
      <c r="E296">
        <v>6209746</v>
      </c>
      <c r="F296">
        <v>1</v>
      </c>
      <c r="G296">
        <v>4</v>
      </c>
      <c r="H296">
        <v>10</v>
      </c>
      <c r="I296">
        <v>20</v>
      </c>
      <c r="J296" t="str">
        <f>_xlfn.TEXTJOIN("-",,H296,I296)</f>
        <v>10-20</v>
      </c>
      <c r="K296" t="s">
        <v>27</v>
      </c>
      <c r="L296" t="s">
        <v>16</v>
      </c>
      <c r="M296" s="3">
        <v>1.69000008027069</v>
      </c>
      <c r="N296" t="s">
        <v>17</v>
      </c>
    </row>
    <row r="297" spans="1:14" hidden="1" x14ac:dyDescent="0.2">
      <c r="A297" t="s">
        <v>18</v>
      </c>
      <c r="B297" t="s">
        <v>19</v>
      </c>
      <c r="C297" s="2">
        <v>37565</v>
      </c>
      <c r="D297">
        <v>692735</v>
      </c>
      <c r="E297">
        <v>6209960</v>
      </c>
      <c r="F297">
        <v>1</v>
      </c>
      <c r="G297">
        <v>1</v>
      </c>
      <c r="H297">
        <v>0</v>
      </c>
      <c r="I297">
        <v>2</v>
      </c>
      <c r="J297" t="str">
        <f>_xlfn.TEXTJOIN("-",,H297,I297)</f>
        <v>0-2</v>
      </c>
      <c r="K297" t="s">
        <v>20</v>
      </c>
      <c r="L297" t="s">
        <v>16</v>
      </c>
      <c r="M297" s="3">
        <v>140.00000664964301</v>
      </c>
      <c r="N297" t="s">
        <v>17</v>
      </c>
    </row>
    <row r="298" spans="1:14" hidden="1" x14ac:dyDescent="0.2">
      <c r="A298" t="s">
        <v>18</v>
      </c>
      <c r="B298" t="s">
        <v>19</v>
      </c>
      <c r="C298" s="2">
        <v>37565</v>
      </c>
      <c r="D298">
        <v>692735</v>
      </c>
      <c r="E298">
        <v>6209960</v>
      </c>
      <c r="F298">
        <v>1</v>
      </c>
      <c r="G298">
        <v>3</v>
      </c>
      <c r="H298">
        <v>5</v>
      </c>
      <c r="I298">
        <v>10</v>
      </c>
      <c r="J298" t="str">
        <f>_xlfn.TEXTJOIN("-",,H298,I298)</f>
        <v>5-10</v>
      </c>
      <c r="K298" t="s">
        <v>15</v>
      </c>
      <c r="L298" t="s">
        <v>16</v>
      </c>
      <c r="M298" s="3">
        <v>13.5000006412156</v>
      </c>
      <c r="N298" t="s">
        <v>17</v>
      </c>
    </row>
    <row r="299" spans="1:14" hidden="1" x14ac:dyDescent="0.2">
      <c r="A299" t="s">
        <v>18</v>
      </c>
      <c r="B299" t="s">
        <v>19</v>
      </c>
      <c r="C299" s="2">
        <v>35745</v>
      </c>
      <c r="D299">
        <v>692735</v>
      </c>
      <c r="E299">
        <v>6209960</v>
      </c>
      <c r="F299">
        <v>1</v>
      </c>
      <c r="G299">
        <v>6</v>
      </c>
      <c r="H299">
        <v>30</v>
      </c>
      <c r="I299">
        <v>43</v>
      </c>
      <c r="J299" t="str">
        <f>_xlfn.TEXTJOIN("-",,H299,I299)</f>
        <v>30-43</v>
      </c>
      <c r="K299" t="s">
        <v>27</v>
      </c>
      <c r="L299" t="s">
        <v>16</v>
      </c>
      <c r="M299" s="3">
        <v>0.59000002802349605</v>
      </c>
      <c r="N299" t="s">
        <v>17</v>
      </c>
    </row>
    <row r="300" spans="1:14" hidden="1" x14ac:dyDescent="0.2">
      <c r="A300" t="s">
        <v>18</v>
      </c>
      <c r="B300" t="s">
        <v>19</v>
      </c>
      <c r="C300" s="2">
        <v>37565</v>
      </c>
      <c r="D300">
        <v>692735</v>
      </c>
      <c r="E300">
        <v>6209960</v>
      </c>
      <c r="F300">
        <v>1</v>
      </c>
      <c r="G300">
        <v>2</v>
      </c>
      <c r="H300">
        <v>2</v>
      </c>
      <c r="I300">
        <v>5</v>
      </c>
      <c r="J300" t="str">
        <f>_xlfn.TEXTJOIN("-",,H300,I300)</f>
        <v>2-5</v>
      </c>
      <c r="K300" t="s">
        <v>22</v>
      </c>
      <c r="L300" t="s">
        <v>16</v>
      </c>
      <c r="M300" s="3">
        <v>16.5</v>
      </c>
      <c r="N300" t="s">
        <v>23</v>
      </c>
    </row>
    <row r="301" spans="1:14" hidden="1" x14ac:dyDescent="0.2">
      <c r="A301" t="s">
        <v>18</v>
      </c>
      <c r="B301" t="s">
        <v>19</v>
      </c>
      <c r="C301" s="2">
        <v>37565</v>
      </c>
      <c r="D301">
        <v>692735</v>
      </c>
      <c r="E301">
        <v>6209960</v>
      </c>
      <c r="F301">
        <v>1</v>
      </c>
      <c r="G301">
        <v>6</v>
      </c>
      <c r="H301">
        <v>30</v>
      </c>
      <c r="I301">
        <v>50</v>
      </c>
      <c r="J301" t="str">
        <f>_xlfn.TEXTJOIN("-",,H301,I301)</f>
        <v>30-50</v>
      </c>
      <c r="K301" t="s">
        <v>20</v>
      </c>
      <c r="L301" t="s">
        <v>16</v>
      </c>
      <c r="M301" s="3">
        <v>197.00000935699799</v>
      </c>
      <c r="N301" t="s">
        <v>17</v>
      </c>
    </row>
    <row r="302" spans="1:14" x14ac:dyDescent="0.2">
      <c r="A302" t="s">
        <v>18</v>
      </c>
      <c r="B302" t="s">
        <v>19</v>
      </c>
      <c r="C302" s="2">
        <v>34330</v>
      </c>
      <c r="D302">
        <v>692735</v>
      </c>
      <c r="E302">
        <v>6209960</v>
      </c>
      <c r="F302">
        <v>1</v>
      </c>
      <c r="G302">
        <v>2</v>
      </c>
      <c r="H302">
        <v>2</v>
      </c>
      <c r="I302">
        <v>5</v>
      </c>
      <c r="J302" t="str">
        <f>_xlfn.TEXTJOIN("-",,H302,I302)</f>
        <v>2-5</v>
      </c>
      <c r="K302" t="s">
        <v>27</v>
      </c>
      <c r="L302" t="s">
        <v>16</v>
      </c>
      <c r="M302" s="3">
        <v>0.70100003329571303</v>
      </c>
      <c r="N302" t="s">
        <v>17</v>
      </c>
    </row>
    <row r="303" spans="1:14" hidden="1" x14ac:dyDescent="0.2">
      <c r="A303" t="s">
        <v>18</v>
      </c>
      <c r="B303" t="s">
        <v>19</v>
      </c>
      <c r="C303" s="2">
        <v>37565</v>
      </c>
      <c r="D303">
        <v>692735</v>
      </c>
      <c r="E303">
        <v>6209960</v>
      </c>
      <c r="F303">
        <v>1</v>
      </c>
      <c r="G303">
        <v>5</v>
      </c>
      <c r="H303">
        <v>20</v>
      </c>
      <c r="I303">
        <v>30</v>
      </c>
      <c r="J303" t="str">
        <f>_xlfn.TEXTJOIN("-",,H303,I303)</f>
        <v>20-30</v>
      </c>
      <c r="K303" t="s">
        <v>25</v>
      </c>
      <c r="L303" t="s">
        <v>16</v>
      </c>
      <c r="M303" s="3">
        <v>17.7</v>
      </c>
      <c r="N303" t="s">
        <v>26</v>
      </c>
    </row>
    <row r="304" spans="1:14" x14ac:dyDescent="0.2">
      <c r="A304" t="s">
        <v>13</v>
      </c>
      <c r="B304" t="s">
        <v>14</v>
      </c>
      <c r="C304" s="2">
        <v>35745</v>
      </c>
      <c r="D304">
        <v>695956</v>
      </c>
      <c r="E304">
        <v>6208568</v>
      </c>
      <c r="F304">
        <v>1</v>
      </c>
      <c r="G304">
        <v>2</v>
      </c>
      <c r="H304">
        <v>2</v>
      </c>
      <c r="I304">
        <v>5</v>
      </c>
      <c r="J304" t="str">
        <f>_xlfn.TEXTJOIN("-",,H304,I304)</f>
        <v>2-5</v>
      </c>
      <c r="K304" t="s">
        <v>27</v>
      </c>
      <c r="L304" t="s">
        <v>16</v>
      </c>
      <c r="M304" s="3">
        <v>1.9000000902451599</v>
      </c>
      <c r="N304" t="s">
        <v>17</v>
      </c>
    </row>
    <row r="305" spans="1:14" hidden="1" x14ac:dyDescent="0.2">
      <c r="A305" t="s">
        <v>21</v>
      </c>
      <c r="B305" t="s">
        <v>14</v>
      </c>
      <c r="C305" s="2">
        <v>37565</v>
      </c>
      <c r="D305">
        <v>694929</v>
      </c>
      <c r="E305">
        <v>6209746</v>
      </c>
      <c r="F305">
        <v>1</v>
      </c>
      <c r="G305">
        <v>4</v>
      </c>
      <c r="H305">
        <v>10</v>
      </c>
      <c r="I305">
        <v>20</v>
      </c>
      <c r="J305" t="str">
        <f>_xlfn.TEXTJOIN("-",,H305,I305)</f>
        <v>10-20</v>
      </c>
      <c r="K305" t="s">
        <v>22</v>
      </c>
      <c r="L305" t="s">
        <v>16</v>
      </c>
      <c r="M305" s="3">
        <v>14.1</v>
      </c>
      <c r="N305" t="s">
        <v>23</v>
      </c>
    </row>
    <row r="306" spans="1:14" x14ac:dyDescent="0.2">
      <c r="A306" t="s">
        <v>18</v>
      </c>
      <c r="B306" t="s">
        <v>19</v>
      </c>
      <c r="C306" s="2">
        <v>35745</v>
      </c>
      <c r="D306">
        <v>692735</v>
      </c>
      <c r="E306">
        <v>6209960</v>
      </c>
      <c r="F306">
        <v>1</v>
      </c>
      <c r="G306">
        <v>2</v>
      </c>
      <c r="H306">
        <v>2</v>
      </c>
      <c r="I306">
        <v>5</v>
      </c>
      <c r="J306" t="str">
        <f>_xlfn.TEXTJOIN("-",,H306,I306)</f>
        <v>2-5</v>
      </c>
      <c r="K306" t="s">
        <v>27</v>
      </c>
      <c r="L306" t="s">
        <v>16</v>
      </c>
      <c r="M306" s="3">
        <v>2.2000001044943902</v>
      </c>
      <c r="N306" t="s">
        <v>17</v>
      </c>
    </row>
    <row r="307" spans="1:14" hidden="1" x14ac:dyDescent="0.2">
      <c r="A307" t="s">
        <v>21</v>
      </c>
      <c r="B307" t="s">
        <v>14</v>
      </c>
      <c r="C307" s="2">
        <v>37565</v>
      </c>
      <c r="D307">
        <v>694929</v>
      </c>
      <c r="E307">
        <v>6209746</v>
      </c>
      <c r="F307">
        <v>1</v>
      </c>
      <c r="G307">
        <v>1</v>
      </c>
      <c r="H307">
        <v>0</v>
      </c>
      <c r="I307">
        <v>2</v>
      </c>
      <c r="J307" t="str">
        <f>_xlfn.TEXTJOIN("-",,H307,I307)</f>
        <v>0-2</v>
      </c>
      <c r="K307" t="s">
        <v>15</v>
      </c>
      <c r="L307" t="s">
        <v>16</v>
      </c>
      <c r="M307" s="3">
        <v>10.970000521047</v>
      </c>
      <c r="N307" t="s">
        <v>17</v>
      </c>
    </row>
    <row r="308" spans="1:14" hidden="1" x14ac:dyDescent="0.2">
      <c r="A308" t="s">
        <v>13</v>
      </c>
      <c r="B308" t="s">
        <v>14</v>
      </c>
      <c r="C308" s="2">
        <v>37565</v>
      </c>
      <c r="D308">
        <v>695956</v>
      </c>
      <c r="E308">
        <v>6208568</v>
      </c>
      <c r="F308">
        <v>1</v>
      </c>
      <c r="G308">
        <v>1</v>
      </c>
      <c r="H308">
        <v>0</v>
      </c>
      <c r="I308">
        <v>2</v>
      </c>
      <c r="J308" t="str">
        <f>_xlfn.TEXTJOIN("-",,H308,I308)</f>
        <v>0-2</v>
      </c>
      <c r="K308" t="s">
        <v>22</v>
      </c>
      <c r="L308" t="s">
        <v>16</v>
      </c>
      <c r="M308" s="3">
        <v>6.41</v>
      </c>
      <c r="N308" t="s">
        <v>23</v>
      </c>
    </row>
    <row r="309" spans="1:14" x14ac:dyDescent="0.2">
      <c r="A309" t="s">
        <v>21</v>
      </c>
      <c r="B309" t="s">
        <v>14</v>
      </c>
      <c r="C309" s="2">
        <v>35745</v>
      </c>
      <c r="D309">
        <v>694929</v>
      </c>
      <c r="E309">
        <v>6209746</v>
      </c>
      <c r="F309">
        <v>1</v>
      </c>
      <c r="G309">
        <v>2</v>
      </c>
      <c r="H309">
        <v>2</v>
      </c>
      <c r="I309">
        <v>5</v>
      </c>
      <c r="J309" t="str">
        <f>_xlfn.TEXTJOIN("-",,H309,I309)</f>
        <v>2-5</v>
      </c>
      <c r="K309" t="s">
        <v>27</v>
      </c>
      <c r="L309" t="s">
        <v>16</v>
      </c>
      <c r="M309" s="3">
        <v>1.7000000807456701</v>
      </c>
      <c r="N309" t="s">
        <v>17</v>
      </c>
    </row>
    <row r="310" spans="1:14" hidden="1" x14ac:dyDescent="0.2">
      <c r="A310" t="s">
        <v>13</v>
      </c>
      <c r="B310" t="s">
        <v>14</v>
      </c>
      <c r="C310" s="2">
        <v>37565</v>
      </c>
      <c r="D310">
        <v>695956</v>
      </c>
      <c r="E310">
        <v>6208568</v>
      </c>
      <c r="F310">
        <v>1</v>
      </c>
      <c r="G310">
        <v>3</v>
      </c>
      <c r="H310">
        <v>5</v>
      </c>
      <c r="I310">
        <v>10</v>
      </c>
      <c r="J310" t="str">
        <f>_xlfn.TEXTJOIN("-",,H310,I310)</f>
        <v>5-10</v>
      </c>
      <c r="K310" t="s">
        <v>22</v>
      </c>
      <c r="L310" t="s">
        <v>16</v>
      </c>
      <c r="M310" s="3">
        <v>20.3</v>
      </c>
      <c r="N310" t="s">
        <v>23</v>
      </c>
    </row>
    <row r="311" spans="1:14" x14ac:dyDescent="0.2">
      <c r="A311" t="s">
        <v>21</v>
      </c>
      <c r="B311" t="s">
        <v>14</v>
      </c>
      <c r="C311" s="2">
        <v>37565</v>
      </c>
      <c r="D311">
        <v>694929</v>
      </c>
      <c r="E311">
        <v>6209746</v>
      </c>
      <c r="F311">
        <v>1</v>
      </c>
      <c r="G311">
        <v>2</v>
      </c>
      <c r="H311">
        <v>2</v>
      </c>
      <c r="I311">
        <v>5</v>
      </c>
      <c r="J311" t="str">
        <f>_xlfn.TEXTJOIN("-",,H311,I311)</f>
        <v>2-5</v>
      </c>
      <c r="K311" t="s">
        <v>27</v>
      </c>
      <c r="L311" t="s">
        <v>16</v>
      </c>
      <c r="M311" s="3">
        <v>1.3200000626966399</v>
      </c>
      <c r="N311" t="s">
        <v>17</v>
      </c>
    </row>
    <row r="312" spans="1:14" hidden="1" x14ac:dyDescent="0.2">
      <c r="A312" t="s">
        <v>18</v>
      </c>
      <c r="B312" t="s">
        <v>19</v>
      </c>
      <c r="C312" s="2">
        <v>35745</v>
      </c>
      <c r="D312">
        <v>692735</v>
      </c>
      <c r="E312">
        <v>6209960</v>
      </c>
      <c r="F312">
        <v>1</v>
      </c>
      <c r="G312">
        <v>4</v>
      </c>
      <c r="H312">
        <v>10</v>
      </c>
      <c r="I312">
        <v>20</v>
      </c>
      <c r="J312" t="str">
        <f>_xlfn.TEXTJOIN("-",,H312,I312)</f>
        <v>10-20</v>
      </c>
      <c r="K312" t="s">
        <v>27</v>
      </c>
      <c r="L312" t="s">
        <v>16</v>
      </c>
      <c r="M312" s="3">
        <v>1.55000007362105</v>
      </c>
      <c r="N312" t="s">
        <v>17</v>
      </c>
    </row>
    <row r="313" spans="1:14" hidden="1" x14ac:dyDescent="0.2">
      <c r="A313" t="s">
        <v>13</v>
      </c>
      <c r="B313" t="s">
        <v>14</v>
      </c>
      <c r="C313" s="2">
        <v>35745</v>
      </c>
      <c r="D313">
        <v>695956</v>
      </c>
      <c r="E313">
        <v>6208568</v>
      </c>
      <c r="F313">
        <v>1</v>
      </c>
      <c r="G313">
        <v>6</v>
      </c>
      <c r="H313">
        <v>30</v>
      </c>
      <c r="I313">
        <v>41</v>
      </c>
      <c r="J313" t="str">
        <f>_xlfn.TEXTJOIN("-",,H313,I313)</f>
        <v>30-41</v>
      </c>
      <c r="K313" t="s">
        <v>27</v>
      </c>
      <c r="L313" t="s">
        <v>16</v>
      </c>
      <c r="M313" s="3">
        <v>0.87000004132278297</v>
      </c>
      <c r="N313" t="s">
        <v>17</v>
      </c>
    </row>
    <row r="314" spans="1:14" hidden="1" x14ac:dyDescent="0.2">
      <c r="A314" t="s">
        <v>13</v>
      </c>
      <c r="B314" t="s">
        <v>14</v>
      </c>
      <c r="C314" s="2">
        <v>37565</v>
      </c>
      <c r="D314">
        <v>695956</v>
      </c>
      <c r="E314">
        <v>6208568</v>
      </c>
      <c r="F314">
        <v>1</v>
      </c>
      <c r="G314">
        <v>1</v>
      </c>
      <c r="H314">
        <v>0</v>
      </c>
      <c r="I314">
        <v>2</v>
      </c>
      <c r="J314" t="str">
        <f>_xlfn.TEXTJOIN("-",,H314,I314)</f>
        <v>0-2</v>
      </c>
      <c r="K314" t="s">
        <v>15</v>
      </c>
      <c r="L314" t="s">
        <v>16</v>
      </c>
      <c r="M314" s="3">
        <v>16.300000774208499</v>
      </c>
      <c r="N314" t="s">
        <v>17</v>
      </c>
    </row>
    <row r="315" spans="1:14" x14ac:dyDescent="0.2">
      <c r="A315" t="s">
        <v>13</v>
      </c>
      <c r="B315" t="s">
        <v>14</v>
      </c>
      <c r="C315" s="2">
        <v>37565</v>
      </c>
      <c r="D315">
        <v>695956</v>
      </c>
      <c r="E315">
        <v>6208568</v>
      </c>
      <c r="F315">
        <v>1</v>
      </c>
      <c r="G315">
        <v>2</v>
      </c>
      <c r="H315">
        <v>2</v>
      </c>
      <c r="I315">
        <v>5</v>
      </c>
      <c r="J315" t="str">
        <f>_xlfn.TEXTJOIN("-",,H315,I315)</f>
        <v>2-5</v>
      </c>
      <c r="K315" t="s">
        <v>27</v>
      </c>
      <c r="L315" t="s">
        <v>16</v>
      </c>
      <c r="M315" s="3">
        <v>0.79600003780797102</v>
      </c>
      <c r="N315" t="s">
        <v>17</v>
      </c>
    </row>
    <row r="316" spans="1:14" x14ac:dyDescent="0.2">
      <c r="A316" t="s">
        <v>18</v>
      </c>
      <c r="B316" t="s">
        <v>19</v>
      </c>
      <c r="C316" s="2">
        <v>37565</v>
      </c>
      <c r="D316">
        <v>692735</v>
      </c>
      <c r="E316">
        <v>6209960</v>
      </c>
      <c r="F316">
        <v>1</v>
      </c>
      <c r="G316">
        <v>2</v>
      </c>
      <c r="H316">
        <v>2</v>
      </c>
      <c r="I316">
        <v>5</v>
      </c>
      <c r="J316" t="str">
        <f>_xlfn.TEXTJOIN("-",,H316,I316)</f>
        <v>2-5</v>
      </c>
      <c r="K316" t="s">
        <v>27</v>
      </c>
      <c r="L316" t="s">
        <v>16</v>
      </c>
      <c r="M316" s="3">
        <v>0.67500003206077996</v>
      </c>
      <c r="N316" t="s">
        <v>17</v>
      </c>
    </row>
    <row r="317" spans="1:14" hidden="1" x14ac:dyDescent="0.2">
      <c r="A317" t="s">
        <v>18</v>
      </c>
      <c r="B317" t="s">
        <v>19</v>
      </c>
      <c r="C317" s="2">
        <v>37565</v>
      </c>
      <c r="D317">
        <v>692735</v>
      </c>
      <c r="E317">
        <v>6209960</v>
      </c>
      <c r="F317">
        <v>1</v>
      </c>
      <c r="G317">
        <v>4</v>
      </c>
      <c r="H317">
        <v>10</v>
      </c>
      <c r="I317">
        <v>20</v>
      </c>
      <c r="J317" t="str">
        <f>_xlfn.TEXTJOIN("-",,H317,I317)</f>
        <v>10-20</v>
      </c>
      <c r="K317" t="s">
        <v>27</v>
      </c>
      <c r="L317" t="s">
        <v>16</v>
      </c>
      <c r="M317" s="3">
        <v>0.66200003144331299</v>
      </c>
      <c r="N317" t="s">
        <v>17</v>
      </c>
    </row>
    <row r="318" spans="1:14" hidden="1" x14ac:dyDescent="0.2">
      <c r="A318" t="s">
        <v>21</v>
      </c>
      <c r="B318" t="s">
        <v>14</v>
      </c>
      <c r="C318" s="2">
        <v>37565</v>
      </c>
      <c r="D318">
        <v>694929</v>
      </c>
      <c r="E318">
        <v>6209746</v>
      </c>
      <c r="F318">
        <v>1</v>
      </c>
      <c r="G318">
        <v>2</v>
      </c>
      <c r="H318">
        <v>2</v>
      </c>
      <c r="I318">
        <v>5</v>
      </c>
      <c r="J318" t="str">
        <f>_xlfn.TEXTJOIN("-",,H318,I318)</f>
        <v>2-5</v>
      </c>
      <c r="K318" t="s">
        <v>25</v>
      </c>
      <c r="L318" t="s">
        <v>16</v>
      </c>
      <c r="M318" s="3">
        <v>27</v>
      </c>
      <c r="N318" t="s">
        <v>26</v>
      </c>
    </row>
    <row r="319" spans="1:14" hidden="1" x14ac:dyDescent="0.2">
      <c r="A319" t="s">
        <v>13</v>
      </c>
      <c r="B319" t="s">
        <v>14</v>
      </c>
      <c r="C319" s="2">
        <v>37565</v>
      </c>
      <c r="D319">
        <v>695956</v>
      </c>
      <c r="E319">
        <v>6208568</v>
      </c>
      <c r="F319">
        <v>1</v>
      </c>
      <c r="G319">
        <v>3</v>
      </c>
      <c r="H319">
        <v>5</v>
      </c>
      <c r="I319">
        <v>10</v>
      </c>
      <c r="J319" t="str">
        <f>_xlfn.TEXTJOIN("-",,H319,I319)</f>
        <v>5-10</v>
      </c>
      <c r="K319" t="s">
        <v>15</v>
      </c>
      <c r="L319" t="s">
        <v>16</v>
      </c>
      <c r="M319" s="3">
        <v>14.000000664964301</v>
      </c>
      <c r="N319" t="s">
        <v>17</v>
      </c>
    </row>
    <row r="320" spans="1:14" hidden="1" x14ac:dyDescent="0.2">
      <c r="A320" t="s">
        <v>18</v>
      </c>
      <c r="B320" t="s">
        <v>19</v>
      </c>
      <c r="C320" s="2">
        <v>37565</v>
      </c>
      <c r="D320">
        <v>692735</v>
      </c>
      <c r="E320">
        <v>6209960</v>
      </c>
      <c r="F320">
        <v>1</v>
      </c>
      <c r="G320">
        <v>1</v>
      </c>
      <c r="H320">
        <v>0</v>
      </c>
      <c r="I320">
        <v>2</v>
      </c>
      <c r="J320" t="str">
        <f>_xlfn.TEXTJOIN("-",,H320,I320)</f>
        <v>0-2</v>
      </c>
      <c r="K320" t="s">
        <v>22</v>
      </c>
      <c r="L320" t="s">
        <v>16</v>
      </c>
      <c r="M320" s="3">
        <v>5.7</v>
      </c>
      <c r="N320" t="s">
        <v>23</v>
      </c>
    </row>
    <row r="321" spans="1:14" hidden="1" x14ac:dyDescent="0.2">
      <c r="A321" t="s">
        <v>18</v>
      </c>
      <c r="B321" t="s">
        <v>19</v>
      </c>
      <c r="C321" s="2">
        <v>37565</v>
      </c>
      <c r="D321">
        <v>692735</v>
      </c>
      <c r="E321">
        <v>6209960</v>
      </c>
      <c r="F321">
        <v>1</v>
      </c>
      <c r="G321">
        <v>3</v>
      </c>
      <c r="H321">
        <v>5</v>
      </c>
      <c r="I321">
        <v>10</v>
      </c>
      <c r="J321" t="str">
        <f>_xlfn.TEXTJOIN("-",,H321,I321)</f>
        <v>5-10</v>
      </c>
      <c r="K321" t="s">
        <v>20</v>
      </c>
      <c r="L321" t="s">
        <v>16</v>
      </c>
      <c r="M321" s="3">
        <v>130.00000617466901</v>
      </c>
      <c r="N321" t="s">
        <v>17</v>
      </c>
    </row>
    <row r="322" spans="1:14" hidden="1" x14ac:dyDescent="0.2">
      <c r="A322" t="s">
        <v>21</v>
      </c>
      <c r="B322" t="s">
        <v>14</v>
      </c>
      <c r="C322" s="2">
        <v>37565</v>
      </c>
      <c r="D322">
        <v>694929</v>
      </c>
      <c r="E322">
        <v>6209746</v>
      </c>
      <c r="F322">
        <v>1</v>
      </c>
      <c r="G322">
        <v>6</v>
      </c>
      <c r="H322">
        <v>30</v>
      </c>
      <c r="I322">
        <v>50</v>
      </c>
      <c r="J322" t="str">
        <f>_xlfn.TEXTJOIN("-",,H322,I322)</f>
        <v>30-50</v>
      </c>
      <c r="K322" t="s">
        <v>25</v>
      </c>
      <c r="L322" t="s">
        <v>16</v>
      </c>
      <c r="M322" s="3">
        <v>20.7</v>
      </c>
      <c r="N322" t="s">
        <v>26</v>
      </c>
    </row>
    <row r="323" spans="1:14" hidden="1" x14ac:dyDescent="0.2">
      <c r="A323" t="s">
        <v>18</v>
      </c>
      <c r="B323" t="s">
        <v>19</v>
      </c>
      <c r="C323" s="2">
        <v>37565</v>
      </c>
      <c r="D323">
        <v>692735</v>
      </c>
      <c r="E323">
        <v>6209960</v>
      </c>
      <c r="F323">
        <v>1</v>
      </c>
      <c r="G323">
        <v>1</v>
      </c>
      <c r="H323">
        <v>0</v>
      </c>
      <c r="I323">
        <v>2</v>
      </c>
      <c r="J323" t="str">
        <f>_xlfn.TEXTJOIN("-",,H323,I323)</f>
        <v>0-2</v>
      </c>
      <c r="K323" t="s">
        <v>15</v>
      </c>
      <c r="L323" t="s">
        <v>16</v>
      </c>
      <c r="M323" s="3">
        <v>13.700000650715101</v>
      </c>
      <c r="N323" t="s">
        <v>17</v>
      </c>
    </row>
    <row r="324" spans="1:14" x14ac:dyDescent="0.2">
      <c r="A324" t="s">
        <v>18</v>
      </c>
      <c r="B324" t="s">
        <v>19</v>
      </c>
      <c r="C324" s="2">
        <v>40128</v>
      </c>
      <c r="D324">
        <v>692735</v>
      </c>
      <c r="E324">
        <v>6209960</v>
      </c>
      <c r="F324">
        <v>1</v>
      </c>
      <c r="G324">
        <v>2</v>
      </c>
      <c r="H324">
        <v>2</v>
      </c>
      <c r="I324">
        <v>5</v>
      </c>
      <c r="J324" t="str">
        <f>_xlfn.TEXTJOIN("-",,H324,I324)</f>
        <v>2-5</v>
      </c>
      <c r="K324" t="s">
        <v>27</v>
      </c>
      <c r="L324" t="s">
        <v>16</v>
      </c>
      <c r="M324" s="3">
        <v>1.4100000669714099</v>
      </c>
      <c r="N324" t="s">
        <v>17</v>
      </c>
    </row>
    <row r="325" spans="1:14" hidden="1" x14ac:dyDescent="0.2">
      <c r="A325" t="s">
        <v>21</v>
      </c>
      <c r="B325" t="s">
        <v>14</v>
      </c>
      <c r="C325" s="2">
        <v>37565</v>
      </c>
      <c r="D325">
        <v>694929</v>
      </c>
      <c r="E325">
        <v>6209746</v>
      </c>
      <c r="F325">
        <v>1</v>
      </c>
      <c r="G325">
        <v>6</v>
      </c>
      <c r="H325">
        <v>30</v>
      </c>
      <c r="I325">
        <v>50</v>
      </c>
      <c r="J325" t="str">
        <f>_xlfn.TEXTJOIN("-",,H325,I325)</f>
        <v>30-50</v>
      </c>
      <c r="K325" t="s">
        <v>27</v>
      </c>
      <c r="L325" t="s">
        <v>16</v>
      </c>
      <c r="M325" s="3">
        <v>0.59500002826098397</v>
      </c>
      <c r="N325" t="s">
        <v>17</v>
      </c>
    </row>
    <row r="326" spans="1:14" hidden="1" x14ac:dyDescent="0.2">
      <c r="A326" t="s">
        <v>13</v>
      </c>
      <c r="B326" t="s">
        <v>14</v>
      </c>
      <c r="C326" s="2">
        <v>37565</v>
      </c>
      <c r="D326">
        <v>695956</v>
      </c>
      <c r="E326">
        <v>6208568</v>
      </c>
      <c r="F326">
        <v>1</v>
      </c>
      <c r="G326">
        <v>5</v>
      </c>
      <c r="H326">
        <v>20</v>
      </c>
      <c r="I326">
        <v>30</v>
      </c>
      <c r="J326" t="str">
        <f>_xlfn.TEXTJOIN("-",,H326,I326)</f>
        <v>20-30</v>
      </c>
      <c r="K326" t="s">
        <v>25</v>
      </c>
      <c r="L326" t="s">
        <v>16</v>
      </c>
      <c r="M326" s="3">
        <v>18.100000000000001</v>
      </c>
      <c r="N326" t="s">
        <v>26</v>
      </c>
    </row>
    <row r="327" spans="1:14" hidden="1" x14ac:dyDescent="0.2">
      <c r="A327" t="s">
        <v>18</v>
      </c>
      <c r="B327" t="s">
        <v>19</v>
      </c>
      <c r="C327" s="2">
        <v>37565</v>
      </c>
      <c r="D327">
        <v>692735</v>
      </c>
      <c r="E327">
        <v>6209960</v>
      </c>
      <c r="F327">
        <v>1</v>
      </c>
      <c r="G327">
        <v>5</v>
      </c>
      <c r="H327">
        <v>20</v>
      </c>
      <c r="I327">
        <v>30</v>
      </c>
      <c r="J327" t="str">
        <f>_xlfn.TEXTJOIN("-",,H327,I327)</f>
        <v>20-30</v>
      </c>
      <c r="K327" t="s">
        <v>27</v>
      </c>
      <c r="L327" t="s">
        <v>16</v>
      </c>
      <c r="M327" s="3">
        <v>0.48100002284627402</v>
      </c>
      <c r="N327" t="s">
        <v>17</v>
      </c>
    </row>
    <row r="328" spans="1:14" x14ac:dyDescent="0.2">
      <c r="A328" t="s">
        <v>21</v>
      </c>
      <c r="B328" t="s">
        <v>14</v>
      </c>
      <c r="C328" s="2">
        <v>40128</v>
      </c>
      <c r="D328">
        <v>694929</v>
      </c>
      <c r="E328">
        <v>6209746</v>
      </c>
      <c r="F328">
        <v>1</v>
      </c>
      <c r="G328">
        <v>2</v>
      </c>
      <c r="H328">
        <v>2</v>
      </c>
      <c r="I328">
        <v>5</v>
      </c>
      <c r="J328" t="str">
        <f>_xlfn.TEXTJOIN("-",,H328,I328)</f>
        <v>2-5</v>
      </c>
      <c r="K328" t="s">
        <v>27</v>
      </c>
      <c r="L328" t="s">
        <v>16</v>
      </c>
      <c r="M328" s="3">
        <v>1.5300000726711001</v>
      </c>
      <c r="N328" t="s">
        <v>17</v>
      </c>
    </row>
    <row r="329" spans="1:14" hidden="1" x14ac:dyDescent="0.2">
      <c r="A329" t="s">
        <v>18</v>
      </c>
      <c r="B329" t="s">
        <v>19</v>
      </c>
      <c r="C329" s="2">
        <v>37565</v>
      </c>
      <c r="D329">
        <v>692735</v>
      </c>
      <c r="E329">
        <v>6209960</v>
      </c>
      <c r="F329">
        <v>1</v>
      </c>
      <c r="G329">
        <v>2</v>
      </c>
      <c r="H329">
        <v>2</v>
      </c>
      <c r="I329">
        <v>5</v>
      </c>
      <c r="J329" t="str">
        <f>_xlfn.TEXTJOIN("-",,H329,I329)</f>
        <v>2-5</v>
      </c>
      <c r="K329" t="s">
        <v>15</v>
      </c>
      <c r="L329" t="s">
        <v>16</v>
      </c>
      <c r="M329" s="3">
        <v>11.900000565219701</v>
      </c>
      <c r="N329" t="s">
        <v>17</v>
      </c>
    </row>
    <row r="330" spans="1:14" hidden="1" x14ac:dyDescent="0.2">
      <c r="A330" t="s">
        <v>18</v>
      </c>
      <c r="B330" t="s">
        <v>19</v>
      </c>
      <c r="C330" s="2">
        <v>37565</v>
      </c>
      <c r="D330">
        <v>692735</v>
      </c>
      <c r="E330">
        <v>6209960</v>
      </c>
      <c r="F330">
        <v>1</v>
      </c>
      <c r="G330">
        <v>5</v>
      </c>
      <c r="H330">
        <v>20</v>
      </c>
      <c r="I330">
        <v>30</v>
      </c>
      <c r="J330" t="str">
        <f>_xlfn.TEXTJOIN("-",,H330,I330)</f>
        <v>20-30</v>
      </c>
      <c r="K330" t="s">
        <v>22</v>
      </c>
      <c r="L330" t="s">
        <v>16</v>
      </c>
      <c r="M330" s="3">
        <v>21.6</v>
      </c>
      <c r="N330" t="s">
        <v>23</v>
      </c>
    </row>
    <row r="331" spans="1:14" hidden="1" x14ac:dyDescent="0.2">
      <c r="A331" t="s">
        <v>21</v>
      </c>
      <c r="B331" t="s">
        <v>14</v>
      </c>
      <c r="C331" s="2">
        <v>37565</v>
      </c>
      <c r="D331">
        <v>694929</v>
      </c>
      <c r="E331">
        <v>6209746</v>
      </c>
      <c r="F331">
        <v>1</v>
      </c>
      <c r="G331">
        <v>5</v>
      </c>
      <c r="H331">
        <v>20</v>
      </c>
      <c r="I331">
        <v>30</v>
      </c>
      <c r="J331" t="str">
        <f>_xlfn.TEXTJOIN("-",,H331,I331)</f>
        <v>20-30</v>
      </c>
      <c r="K331" t="s">
        <v>25</v>
      </c>
      <c r="L331" t="s">
        <v>16</v>
      </c>
      <c r="M331" s="3">
        <v>20</v>
      </c>
      <c r="N331" t="s">
        <v>26</v>
      </c>
    </row>
    <row r="332" spans="1:14" hidden="1" x14ac:dyDescent="0.2">
      <c r="A332" t="s">
        <v>13</v>
      </c>
      <c r="B332" t="s">
        <v>14</v>
      </c>
      <c r="C332" s="2">
        <v>37565</v>
      </c>
      <c r="D332">
        <v>695956</v>
      </c>
      <c r="E332">
        <v>6208568</v>
      </c>
      <c r="F332">
        <v>1</v>
      </c>
      <c r="G332">
        <v>4</v>
      </c>
      <c r="H332">
        <v>10</v>
      </c>
      <c r="I332">
        <v>20</v>
      </c>
      <c r="J332" t="str">
        <f>_xlfn.TEXTJOIN("-",,H332,I332)</f>
        <v>10-20</v>
      </c>
      <c r="K332" t="s">
        <v>15</v>
      </c>
      <c r="L332" t="s">
        <v>16</v>
      </c>
      <c r="M332" s="3">
        <v>16.400000778958201</v>
      </c>
      <c r="N332" t="s">
        <v>17</v>
      </c>
    </row>
    <row r="333" spans="1:14" hidden="1" x14ac:dyDescent="0.2">
      <c r="A333" t="s">
        <v>13</v>
      </c>
      <c r="B333" t="s">
        <v>14</v>
      </c>
      <c r="C333" s="2">
        <v>37565</v>
      </c>
      <c r="D333">
        <v>695956</v>
      </c>
      <c r="E333">
        <v>6208568</v>
      </c>
      <c r="F333">
        <v>1</v>
      </c>
      <c r="G333">
        <v>6</v>
      </c>
      <c r="H333">
        <v>30</v>
      </c>
      <c r="I333">
        <v>50</v>
      </c>
      <c r="J333" t="str">
        <f>_xlfn.TEXTJOIN("-",,H333,I333)</f>
        <v>30-50</v>
      </c>
      <c r="K333" t="s">
        <v>25</v>
      </c>
      <c r="L333" t="s">
        <v>16</v>
      </c>
      <c r="M333" s="3">
        <v>20.6</v>
      </c>
      <c r="N333" t="s">
        <v>26</v>
      </c>
    </row>
    <row r="334" spans="1:14" hidden="1" x14ac:dyDescent="0.2">
      <c r="A334" t="s">
        <v>13</v>
      </c>
      <c r="B334" t="s">
        <v>14</v>
      </c>
      <c r="C334" s="2">
        <v>37565</v>
      </c>
      <c r="D334">
        <v>695956</v>
      </c>
      <c r="E334">
        <v>6208568</v>
      </c>
      <c r="F334">
        <v>1</v>
      </c>
      <c r="G334">
        <v>5</v>
      </c>
      <c r="H334">
        <v>20</v>
      </c>
      <c r="I334">
        <v>30</v>
      </c>
      <c r="J334" t="str">
        <f>_xlfn.TEXTJOIN("-",,H334,I334)</f>
        <v>20-30</v>
      </c>
      <c r="K334" t="s">
        <v>27</v>
      </c>
      <c r="L334" t="s">
        <v>16</v>
      </c>
      <c r="M334" s="3">
        <v>0.57900002750102397</v>
      </c>
      <c r="N334" t="s">
        <v>17</v>
      </c>
    </row>
    <row r="335" spans="1:14" hidden="1" x14ac:dyDescent="0.2">
      <c r="A335" t="s">
        <v>18</v>
      </c>
      <c r="B335" t="s">
        <v>19</v>
      </c>
      <c r="C335" s="2">
        <v>37565</v>
      </c>
      <c r="D335">
        <v>692735</v>
      </c>
      <c r="E335">
        <v>6209960</v>
      </c>
      <c r="F335">
        <v>1</v>
      </c>
      <c r="G335">
        <v>4</v>
      </c>
      <c r="H335">
        <v>10</v>
      </c>
      <c r="I335">
        <v>20</v>
      </c>
      <c r="J335" t="str">
        <f>_xlfn.TEXTJOIN("-",,H335,I335)</f>
        <v>10-20</v>
      </c>
      <c r="K335" t="s">
        <v>22</v>
      </c>
      <c r="L335" t="s">
        <v>16</v>
      </c>
      <c r="M335" s="3">
        <v>19.7</v>
      </c>
      <c r="N335" t="s">
        <v>23</v>
      </c>
    </row>
    <row r="336" spans="1:14" x14ac:dyDescent="0.2">
      <c r="A336" t="s">
        <v>13</v>
      </c>
      <c r="B336" t="s">
        <v>14</v>
      </c>
      <c r="C336" s="2">
        <v>40128</v>
      </c>
      <c r="D336">
        <v>695956</v>
      </c>
      <c r="E336">
        <v>6208568</v>
      </c>
      <c r="F336">
        <v>1</v>
      </c>
      <c r="G336">
        <v>2</v>
      </c>
      <c r="H336">
        <v>2</v>
      </c>
      <c r="I336">
        <v>5</v>
      </c>
      <c r="J336" t="str">
        <f>_xlfn.TEXTJOIN("-",,H336,I336)</f>
        <v>2-5</v>
      </c>
      <c r="K336" t="s">
        <v>27</v>
      </c>
      <c r="L336" t="s">
        <v>16</v>
      </c>
      <c r="M336" s="3">
        <v>1.16000005509704</v>
      </c>
      <c r="N336" t="s">
        <v>17</v>
      </c>
    </row>
    <row r="337" spans="1:14" x14ac:dyDescent="0.2">
      <c r="A337" t="s">
        <v>21</v>
      </c>
      <c r="B337" t="s">
        <v>14</v>
      </c>
      <c r="C337" s="2">
        <v>41954</v>
      </c>
      <c r="D337">
        <v>694929</v>
      </c>
      <c r="E337">
        <v>6209746</v>
      </c>
      <c r="F337">
        <v>1</v>
      </c>
      <c r="G337">
        <v>2</v>
      </c>
      <c r="H337">
        <v>2</v>
      </c>
      <c r="I337">
        <v>5</v>
      </c>
      <c r="J337" t="str">
        <f>_xlfn.TEXTJOIN("-",,H337,I337)</f>
        <v>2-5</v>
      </c>
      <c r="K337" t="s">
        <v>27</v>
      </c>
      <c r="L337" t="s">
        <v>16</v>
      </c>
      <c r="M337" s="3">
        <v>1.7000000807456701</v>
      </c>
      <c r="N337" t="s">
        <v>17</v>
      </c>
    </row>
    <row r="338" spans="1:14" hidden="1" x14ac:dyDescent="0.2">
      <c r="A338" t="s">
        <v>21</v>
      </c>
      <c r="B338" t="s">
        <v>14</v>
      </c>
      <c r="C338" s="2">
        <v>37565</v>
      </c>
      <c r="D338">
        <v>694929</v>
      </c>
      <c r="E338">
        <v>6209746</v>
      </c>
      <c r="F338">
        <v>1</v>
      </c>
      <c r="G338">
        <v>6</v>
      </c>
      <c r="H338">
        <v>30</v>
      </c>
      <c r="I338">
        <v>50</v>
      </c>
      <c r="J338" t="str">
        <f>_xlfn.TEXTJOIN("-",,H338,I338)</f>
        <v>30-50</v>
      </c>
      <c r="K338" t="s">
        <v>22</v>
      </c>
      <c r="L338" t="s">
        <v>16</v>
      </c>
      <c r="M338" s="3">
        <v>14.8</v>
      </c>
      <c r="N338" t="s">
        <v>23</v>
      </c>
    </row>
    <row r="339" spans="1:14" hidden="1" x14ac:dyDescent="0.2">
      <c r="A339" t="s">
        <v>13</v>
      </c>
      <c r="B339" t="s">
        <v>14</v>
      </c>
      <c r="C339" s="2">
        <v>37565</v>
      </c>
      <c r="D339">
        <v>695956</v>
      </c>
      <c r="E339">
        <v>6208568</v>
      </c>
      <c r="F339">
        <v>1</v>
      </c>
      <c r="G339">
        <v>4</v>
      </c>
      <c r="H339">
        <v>10</v>
      </c>
      <c r="I339">
        <v>20</v>
      </c>
      <c r="J339" t="str">
        <f>_xlfn.TEXTJOIN("-",,H339,I339)</f>
        <v>10-20</v>
      </c>
      <c r="K339" t="s">
        <v>20</v>
      </c>
      <c r="L339" t="s">
        <v>16</v>
      </c>
      <c r="M339" s="3">
        <v>56.600002688355801</v>
      </c>
      <c r="N339" t="s">
        <v>17</v>
      </c>
    </row>
    <row r="340" spans="1:14" hidden="1" x14ac:dyDescent="0.2">
      <c r="A340" t="s">
        <v>13</v>
      </c>
      <c r="B340" t="s">
        <v>14</v>
      </c>
      <c r="C340" s="2">
        <v>37565</v>
      </c>
      <c r="D340">
        <v>695956</v>
      </c>
      <c r="E340">
        <v>6208568</v>
      </c>
      <c r="F340">
        <v>1</v>
      </c>
      <c r="G340">
        <v>6</v>
      </c>
      <c r="H340">
        <v>30</v>
      </c>
      <c r="I340">
        <v>50</v>
      </c>
      <c r="J340" t="str">
        <f>_xlfn.TEXTJOIN("-",,H340,I340)</f>
        <v>30-50</v>
      </c>
      <c r="K340" t="s">
        <v>22</v>
      </c>
      <c r="L340" t="s">
        <v>16</v>
      </c>
      <c r="M340" s="3">
        <v>15.2</v>
      </c>
      <c r="N340" t="s">
        <v>23</v>
      </c>
    </row>
    <row r="341" spans="1:14" hidden="1" x14ac:dyDescent="0.2">
      <c r="A341" t="s">
        <v>18</v>
      </c>
      <c r="B341" t="s">
        <v>19</v>
      </c>
      <c r="C341" s="2">
        <v>37565</v>
      </c>
      <c r="D341">
        <v>692735</v>
      </c>
      <c r="E341">
        <v>6209960</v>
      </c>
      <c r="F341">
        <v>1</v>
      </c>
      <c r="G341">
        <v>1</v>
      </c>
      <c r="H341">
        <v>0</v>
      </c>
      <c r="I341">
        <v>2</v>
      </c>
      <c r="J341" t="str">
        <f>_xlfn.TEXTJOIN("-",,H341,I341)</f>
        <v>0-2</v>
      </c>
      <c r="K341" t="s">
        <v>25</v>
      </c>
      <c r="L341" t="s">
        <v>16</v>
      </c>
      <c r="M341" s="3">
        <v>26.9</v>
      </c>
      <c r="N341" t="s">
        <v>26</v>
      </c>
    </row>
    <row r="342" spans="1:14" hidden="1" x14ac:dyDescent="0.2">
      <c r="A342" t="s">
        <v>21</v>
      </c>
      <c r="B342" t="s">
        <v>14</v>
      </c>
      <c r="C342" s="2">
        <v>37565</v>
      </c>
      <c r="D342">
        <v>694929</v>
      </c>
      <c r="E342">
        <v>6209746</v>
      </c>
      <c r="F342">
        <v>1</v>
      </c>
      <c r="G342">
        <v>2</v>
      </c>
      <c r="H342">
        <v>2</v>
      </c>
      <c r="I342">
        <v>5</v>
      </c>
      <c r="J342" t="str">
        <f>_xlfn.TEXTJOIN("-",,H342,I342)</f>
        <v>2-5</v>
      </c>
      <c r="K342" t="s">
        <v>22</v>
      </c>
      <c r="L342" t="s">
        <v>16</v>
      </c>
      <c r="M342" s="3">
        <v>10</v>
      </c>
      <c r="N342" t="s">
        <v>23</v>
      </c>
    </row>
    <row r="343" spans="1:14" hidden="1" x14ac:dyDescent="0.2">
      <c r="A343" t="s">
        <v>13</v>
      </c>
      <c r="B343" t="s">
        <v>14</v>
      </c>
      <c r="C343" s="2">
        <v>37565</v>
      </c>
      <c r="D343">
        <v>695956</v>
      </c>
      <c r="E343">
        <v>6208568</v>
      </c>
      <c r="F343">
        <v>1</v>
      </c>
      <c r="G343">
        <v>1</v>
      </c>
      <c r="H343">
        <v>0</v>
      </c>
      <c r="I343">
        <v>2</v>
      </c>
      <c r="J343" t="str">
        <f>_xlfn.TEXTJOIN("-",,H343,I343)</f>
        <v>0-2</v>
      </c>
      <c r="K343" t="s">
        <v>20</v>
      </c>
      <c r="L343" t="s">
        <v>16</v>
      </c>
      <c r="M343" s="3">
        <v>19.200000911951101</v>
      </c>
      <c r="N343" t="s">
        <v>17</v>
      </c>
    </row>
    <row r="344" spans="1:14" hidden="1" x14ac:dyDescent="0.2">
      <c r="A344" t="s">
        <v>21</v>
      </c>
      <c r="B344" t="s">
        <v>14</v>
      </c>
      <c r="C344" s="2">
        <v>37565</v>
      </c>
      <c r="D344">
        <v>694929</v>
      </c>
      <c r="E344">
        <v>6209746</v>
      </c>
      <c r="F344">
        <v>1</v>
      </c>
      <c r="G344">
        <v>2</v>
      </c>
      <c r="H344">
        <v>2</v>
      </c>
      <c r="I344">
        <v>5</v>
      </c>
      <c r="J344" t="str">
        <f>_xlfn.TEXTJOIN("-",,H344,I344)</f>
        <v>2-5</v>
      </c>
      <c r="K344" t="s">
        <v>20</v>
      </c>
      <c r="L344" t="s">
        <v>16</v>
      </c>
      <c r="M344" s="3">
        <v>179.00000850204401</v>
      </c>
      <c r="N344" t="s">
        <v>17</v>
      </c>
    </row>
    <row r="345" spans="1:14" hidden="1" x14ac:dyDescent="0.2">
      <c r="A345" t="s">
        <v>18</v>
      </c>
      <c r="B345" t="s">
        <v>19</v>
      </c>
      <c r="C345" s="2">
        <v>37565</v>
      </c>
      <c r="D345">
        <v>692735</v>
      </c>
      <c r="E345">
        <v>6209960</v>
      </c>
      <c r="F345">
        <v>1</v>
      </c>
      <c r="G345">
        <v>5</v>
      </c>
      <c r="H345">
        <v>20</v>
      </c>
      <c r="I345">
        <v>30</v>
      </c>
      <c r="J345" t="str">
        <f>_xlfn.TEXTJOIN("-",,H345,I345)</f>
        <v>20-30</v>
      </c>
      <c r="K345" t="s">
        <v>15</v>
      </c>
      <c r="L345" t="s">
        <v>16</v>
      </c>
      <c r="M345" s="3">
        <v>9.6600004588253796</v>
      </c>
      <c r="N345" t="s">
        <v>17</v>
      </c>
    </row>
    <row r="346" spans="1:14" hidden="1" x14ac:dyDescent="0.2">
      <c r="A346" t="s">
        <v>18</v>
      </c>
      <c r="B346" t="s">
        <v>19</v>
      </c>
      <c r="C346" s="2">
        <v>37565</v>
      </c>
      <c r="D346">
        <v>692735</v>
      </c>
      <c r="E346">
        <v>6209960</v>
      </c>
      <c r="F346">
        <v>1</v>
      </c>
      <c r="G346">
        <v>6</v>
      </c>
      <c r="H346">
        <v>30</v>
      </c>
      <c r="I346">
        <v>50</v>
      </c>
      <c r="J346" t="str">
        <f>_xlfn.TEXTJOIN("-",,H346,I346)</f>
        <v>30-50</v>
      </c>
      <c r="K346" t="s">
        <v>25</v>
      </c>
      <c r="L346" t="s">
        <v>16</v>
      </c>
      <c r="M346" s="3">
        <v>17</v>
      </c>
      <c r="N346" t="s">
        <v>26</v>
      </c>
    </row>
    <row r="347" spans="1:14" hidden="1" x14ac:dyDescent="0.2">
      <c r="A347" t="s">
        <v>18</v>
      </c>
      <c r="B347" t="s">
        <v>19</v>
      </c>
      <c r="C347" s="2">
        <v>37565</v>
      </c>
      <c r="D347">
        <v>692735</v>
      </c>
      <c r="E347">
        <v>6209960</v>
      </c>
      <c r="F347">
        <v>1</v>
      </c>
      <c r="G347">
        <v>6</v>
      </c>
      <c r="H347">
        <v>30</v>
      </c>
      <c r="I347">
        <v>50</v>
      </c>
      <c r="J347" t="str">
        <f>_xlfn.TEXTJOIN("-",,H347,I347)</f>
        <v>30-50</v>
      </c>
      <c r="K347" t="s">
        <v>27</v>
      </c>
      <c r="L347" t="s">
        <v>16</v>
      </c>
      <c r="M347" s="3">
        <v>0.48500002303626399</v>
      </c>
      <c r="N347" t="s">
        <v>17</v>
      </c>
    </row>
    <row r="348" spans="1:14" hidden="1" x14ac:dyDescent="0.2">
      <c r="A348" t="s">
        <v>21</v>
      </c>
      <c r="B348" t="s">
        <v>14</v>
      </c>
      <c r="C348" s="2">
        <v>37565</v>
      </c>
      <c r="D348">
        <v>694929</v>
      </c>
      <c r="E348">
        <v>6209746</v>
      </c>
      <c r="F348">
        <v>1</v>
      </c>
      <c r="G348">
        <v>3</v>
      </c>
      <c r="H348">
        <v>5</v>
      </c>
      <c r="I348">
        <v>10</v>
      </c>
      <c r="J348" t="str">
        <f>_xlfn.TEXTJOIN("-",,H348,I348)</f>
        <v>5-10</v>
      </c>
      <c r="K348" t="s">
        <v>20</v>
      </c>
      <c r="L348" t="s">
        <v>16</v>
      </c>
      <c r="M348" s="3">
        <v>146.000006934628</v>
      </c>
      <c r="N348" t="s">
        <v>17</v>
      </c>
    </row>
    <row r="349" spans="1:14" hidden="1" x14ac:dyDescent="0.2">
      <c r="A349" t="s">
        <v>13</v>
      </c>
      <c r="B349" t="s">
        <v>14</v>
      </c>
      <c r="C349" s="2">
        <v>37565</v>
      </c>
      <c r="D349">
        <v>695956</v>
      </c>
      <c r="E349">
        <v>6208568</v>
      </c>
      <c r="F349">
        <v>1</v>
      </c>
      <c r="G349">
        <v>2</v>
      </c>
      <c r="H349">
        <v>2</v>
      </c>
      <c r="I349">
        <v>5</v>
      </c>
      <c r="J349" t="str">
        <f>_xlfn.TEXTJOIN("-",,H349,I349)</f>
        <v>2-5</v>
      </c>
      <c r="K349" t="s">
        <v>22</v>
      </c>
      <c r="L349" t="s">
        <v>16</v>
      </c>
      <c r="M349" s="3">
        <v>8.5500000000000007</v>
      </c>
      <c r="N349" t="s">
        <v>23</v>
      </c>
    </row>
    <row r="350" spans="1:14" x14ac:dyDescent="0.2">
      <c r="A350" t="s">
        <v>13</v>
      </c>
      <c r="B350" t="s">
        <v>14</v>
      </c>
      <c r="C350" s="2">
        <v>41954</v>
      </c>
      <c r="D350">
        <v>695956</v>
      </c>
      <c r="E350">
        <v>6208568</v>
      </c>
      <c r="F350">
        <v>1</v>
      </c>
      <c r="G350">
        <v>2</v>
      </c>
      <c r="H350">
        <v>2</v>
      </c>
      <c r="I350">
        <v>5</v>
      </c>
      <c r="J350" t="str">
        <f>_xlfn.TEXTJOIN("-",,H350,I350)</f>
        <v>2-5</v>
      </c>
      <c r="K350" t="s">
        <v>27</v>
      </c>
      <c r="L350" t="s">
        <v>16</v>
      </c>
      <c r="M350" s="3">
        <v>1.5000000712461801</v>
      </c>
      <c r="N350" t="s">
        <v>17</v>
      </c>
    </row>
    <row r="351" spans="1:14" hidden="1" x14ac:dyDescent="0.2">
      <c r="A351" t="s">
        <v>13</v>
      </c>
      <c r="B351" t="s">
        <v>14</v>
      </c>
      <c r="C351" s="2">
        <v>37565</v>
      </c>
      <c r="D351">
        <v>695956</v>
      </c>
      <c r="E351">
        <v>6208568</v>
      </c>
      <c r="F351">
        <v>1</v>
      </c>
      <c r="G351">
        <v>4</v>
      </c>
      <c r="H351">
        <v>10</v>
      </c>
      <c r="I351">
        <v>20</v>
      </c>
      <c r="J351" t="str">
        <f>_xlfn.TEXTJOIN("-",,H351,I351)</f>
        <v>10-20</v>
      </c>
      <c r="K351" t="s">
        <v>27</v>
      </c>
      <c r="L351" t="s">
        <v>16</v>
      </c>
      <c r="M351" s="3">
        <v>0.56900002702605001</v>
      </c>
      <c r="N351" t="s">
        <v>17</v>
      </c>
    </row>
    <row r="352" spans="1:14" x14ac:dyDescent="0.2">
      <c r="A352" t="s">
        <v>18</v>
      </c>
      <c r="B352" t="s">
        <v>19</v>
      </c>
      <c r="C352" s="2">
        <v>41954</v>
      </c>
      <c r="D352">
        <v>692735</v>
      </c>
      <c r="E352">
        <v>6209960</v>
      </c>
      <c r="F352">
        <v>1</v>
      </c>
      <c r="G352">
        <v>2</v>
      </c>
      <c r="H352">
        <v>2</v>
      </c>
      <c r="I352">
        <v>5</v>
      </c>
      <c r="J352" t="str">
        <f>_xlfn.TEXTJOIN("-",,H352,I352)</f>
        <v>2-5</v>
      </c>
      <c r="K352" t="s">
        <v>27</v>
      </c>
      <c r="L352" t="s">
        <v>16</v>
      </c>
      <c r="M352" s="3">
        <v>1.5000000712461801</v>
      </c>
      <c r="N352" t="s">
        <v>17</v>
      </c>
    </row>
    <row r="353" spans="1:14" hidden="1" x14ac:dyDescent="0.2">
      <c r="A353" t="s">
        <v>21</v>
      </c>
      <c r="B353" t="s">
        <v>14</v>
      </c>
      <c r="C353" s="2">
        <v>37565</v>
      </c>
      <c r="D353">
        <v>694929</v>
      </c>
      <c r="E353">
        <v>6209746</v>
      </c>
      <c r="F353">
        <v>1</v>
      </c>
      <c r="G353">
        <v>2</v>
      </c>
      <c r="H353">
        <v>2</v>
      </c>
      <c r="I353">
        <v>5</v>
      </c>
      <c r="J353" t="str">
        <f>_xlfn.TEXTJOIN("-",,H353,I353)</f>
        <v>2-5</v>
      </c>
      <c r="K353" t="s">
        <v>15</v>
      </c>
      <c r="L353" t="s">
        <v>16</v>
      </c>
      <c r="M353" s="3">
        <v>13.9000006602146</v>
      </c>
      <c r="N353" t="s">
        <v>17</v>
      </c>
    </row>
    <row r="354" spans="1:14" x14ac:dyDescent="0.2">
      <c r="A354" t="s">
        <v>13</v>
      </c>
      <c r="B354" t="s">
        <v>14</v>
      </c>
      <c r="C354" s="2">
        <v>43412</v>
      </c>
      <c r="D354">
        <v>695956</v>
      </c>
      <c r="E354">
        <v>6208568</v>
      </c>
      <c r="F354">
        <v>1</v>
      </c>
      <c r="G354">
        <v>2</v>
      </c>
      <c r="H354">
        <v>2</v>
      </c>
      <c r="I354">
        <v>5</v>
      </c>
      <c r="J354" t="str">
        <f>_xlfn.TEXTJOIN("-",,H354,I354)</f>
        <v>2-5</v>
      </c>
      <c r="K354" t="s">
        <v>27</v>
      </c>
      <c r="L354" t="s">
        <v>16</v>
      </c>
      <c r="M354" s="3">
        <v>1.9000000902451599</v>
      </c>
      <c r="N354" t="s">
        <v>17</v>
      </c>
    </row>
    <row r="355" spans="1:14" x14ac:dyDescent="0.2">
      <c r="A355" t="s">
        <v>21</v>
      </c>
      <c r="B355" t="s">
        <v>14</v>
      </c>
      <c r="C355" s="2">
        <v>43412</v>
      </c>
      <c r="D355">
        <v>694929</v>
      </c>
      <c r="E355">
        <v>6209746</v>
      </c>
      <c r="F355">
        <v>1</v>
      </c>
      <c r="G355">
        <v>2</v>
      </c>
      <c r="H355">
        <v>2</v>
      </c>
      <c r="I355">
        <v>5</v>
      </c>
      <c r="J355" t="str">
        <f>_xlfn.TEXTJOIN("-",,H355,I355)</f>
        <v>2-5</v>
      </c>
      <c r="K355" t="s">
        <v>27</v>
      </c>
      <c r="L355" t="s">
        <v>16</v>
      </c>
      <c r="M355" s="3">
        <v>1.6000000759959201</v>
      </c>
      <c r="N355" t="s">
        <v>17</v>
      </c>
    </row>
    <row r="356" spans="1:14" hidden="1" x14ac:dyDescent="0.2">
      <c r="A356" t="s">
        <v>13</v>
      </c>
      <c r="B356" t="s">
        <v>14</v>
      </c>
      <c r="C356" s="2">
        <v>37565</v>
      </c>
      <c r="D356">
        <v>695956</v>
      </c>
      <c r="E356">
        <v>6208568</v>
      </c>
      <c r="F356">
        <v>1</v>
      </c>
      <c r="G356">
        <v>6</v>
      </c>
      <c r="H356">
        <v>30</v>
      </c>
      <c r="I356">
        <v>50</v>
      </c>
      <c r="J356" t="str">
        <f>_xlfn.TEXTJOIN("-",,H356,I356)</f>
        <v>30-50</v>
      </c>
      <c r="K356" t="s">
        <v>20</v>
      </c>
      <c r="L356" t="s">
        <v>16</v>
      </c>
      <c r="M356" s="3">
        <v>71.700003405567301</v>
      </c>
      <c r="N356" t="s">
        <v>17</v>
      </c>
    </row>
    <row r="357" spans="1:14" hidden="1" x14ac:dyDescent="0.2">
      <c r="A357" t="s">
        <v>13</v>
      </c>
      <c r="B357" t="s">
        <v>14</v>
      </c>
      <c r="C357" s="2">
        <v>37565</v>
      </c>
      <c r="D357">
        <v>695956</v>
      </c>
      <c r="E357">
        <v>6208568</v>
      </c>
      <c r="F357">
        <v>1</v>
      </c>
      <c r="G357">
        <v>2</v>
      </c>
      <c r="H357">
        <v>2</v>
      </c>
      <c r="I357">
        <v>5</v>
      </c>
      <c r="J357" t="str">
        <f>_xlfn.TEXTJOIN("-",,H357,I357)</f>
        <v>2-5</v>
      </c>
      <c r="K357" t="s">
        <v>20</v>
      </c>
      <c r="L357" t="s">
        <v>16</v>
      </c>
      <c r="M357" s="3">
        <v>132.000006269664</v>
      </c>
      <c r="N357" t="s">
        <v>17</v>
      </c>
    </row>
    <row r="358" spans="1:14" hidden="1" x14ac:dyDescent="0.2">
      <c r="A358" t="s">
        <v>18</v>
      </c>
      <c r="B358" t="s">
        <v>19</v>
      </c>
      <c r="C358" s="2">
        <v>37565</v>
      </c>
      <c r="D358">
        <v>692735</v>
      </c>
      <c r="E358">
        <v>6209960</v>
      </c>
      <c r="F358">
        <v>1</v>
      </c>
      <c r="G358">
        <v>4</v>
      </c>
      <c r="H358">
        <v>10</v>
      </c>
      <c r="I358">
        <v>20</v>
      </c>
      <c r="J358" t="str">
        <f>_xlfn.TEXTJOIN("-",,H358,I358)</f>
        <v>10-20</v>
      </c>
      <c r="K358" t="s">
        <v>20</v>
      </c>
      <c r="L358" t="s">
        <v>16</v>
      </c>
      <c r="M358" s="3">
        <v>149.00000707711999</v>
      </c>
      <c r="N358" t="s">
        <v>17</v>
      </c>
    </row>
    <row r="359" spans="1:14" x14ac:dyDescent="0.2">
      <c r="A359" t="s">
        <v>18</v>
      </c>
      <c r="B359" t="s">
        <v>19</v>
      </c>
      <c r="C359" s="2">
        <v>43412</v>
      </c>
      <c r="D359">
        <v>692735</v>
      </c>
      <c r="E359">
        <v>6209960</v>
      </c>
      <c r="F359">
        <v>1</v>
      </c>
      <c r="G359">
        <v>2</v>
      </c>
      <c r="H359">
        <v>2</v>
      </c>
      <c r="I359">
        <v>5</v>
      </c>
      <c r="J359" t="str">
        <f>_xlfn.TEXTJOIN("-",,H359,I359)</f>
        <v>2-5</v>
      </c>
      <c r="K359" t="s">
        <v>27</v>
      </c>
      <c r="L359" t="s">
        <v>16</v>
      </c>
      <c r="M359" s="3">
        <v>2.2000001044943902</v>
      </c>
      <c r="N359" t="s">
        <v>17</v>
      </c>
    </row>
    <row r="360" spans="1:14" hidden="1" x14ac:dyDescent="0.2">
      <c r="A360" t="s">
        <v>21</v>
      </c>
      <c r="B360" t="s">
        <v>14</v>
      </c>
      <c r="C360" s="2">
        <v>37565</v>
      </c>
      <c r="D360">
        <v>694929</v>
      </c>
      <c r="E360">
        <v>6209746</v>
      </c>
      <c r="F360">
        <v>1</v>
      </c>
      <c r="G360">
        <v>4</v>
      </c>
      <c r="H360">
        <v>10</v>
      </c>
      <c r="I360">
        <v>20</v>
      </c>
      <c r="J360" t="str">
        <f>_xlfn.TEXTJOIN("-",,H360,I360)</f>
        <v>10-20</v>
      </c>
      <c r="K360" t="s">
        <v>25</v>
      </c>
      <c r="L360" t="s">
        <v>16</v>
      </c>
      <c r="M360" s="3">
        <v>18.8</v>
      </c>
      <c r="N360" t="s">
        <v>26</v>
      </c>
    </row>
    <row r="361" spans="1:14" hidden="1" x14ac:dyDescent="0.2">
      <c r="A361" t="s">
        <v>18</v>
      </c>
      <c r="B361" t="s">
        <v>19</v>
      </c>
      <c r="C361" s="2">
        <v>37565</v>
      </c>
      <c r="D361">
        <v>692735</v>
      </c>
      <c r="E361">
        <v>6209960</v>
      </c>
      <c r="F361">
        <v>1</v>
      </c>
      <c r="G361">
        <v>6</v>
      </c>
      <c r="H361">
        <v>30</v>
      </c>
      <c r="I361">
        <v>50</v>
      </c>
      <c r="J361" t="str">
        <f>_xlfn.TEXTJOIN("-",,H361,I361)</f>
        <v>30-50</v>
      </c>
      <c r="K361" t="s">
        <v>22</v>
      </c>
      <c r="L361" t="s">
        <v>16</v>
      </c>
      <c r="M361" s="3">
        <v>19.7</v>
      </c>
      <c r="N361" t="s">
        <v>23</v>
      </c>
    </row>
    <row r="362" spans="1:14" hidden="1" x14ac:dyDescent="0.2">
      <c r="A362" t="s">
        <v>13</v>
      </c>
      <c r="B362" t="s">
        <v>14</v>
      </c>
      <c r="C362" s="2">
        <v>37565</v>
      </c>
      <c r="D362">
        <v>695956</v>
      </c>
      <c r="E362">
        <v>6208568</v>
      </c>
      <c r="F362">
        <v>1</v>
      </c>
      <c r="G362">
        <v>5</v>
      </c>
      <c r="H362">
        <v>20</v>
      </c>
      <c r="I362">
        <v>30</v>
      </c>
      <c r="J362" t="str">
        <f>_xlfn.TEXTJOIN("-",,H362,I362)</f>
        <v>20-30</v>
      </c>
      <c r="K362" t="s">
        <v>22</v>
      </c>
      <c r="L362" t="s">
        <v>16</v>
      </c>
      <c r="M362" s="3">
        <v>16.399999999999999</v>
      </c>
      <c r="N362" t="s">
        <v>23</v>
      </c>
    </row>
    <row r="363" spans="1:14" hidden="1" x14ac:dyDescent="0.2">
      <c r="A363" t="s">
        <v>21</v>
      </c>
      <c r="B363" t="s">
        <v>14</v>
      </c>
      <c r="C363" s="2">
        <v>37565</v>
      </c>
      <c r="D363">
        <v>694929</v>
      </c>
      <c r="E363">
        <v>6209746</v>
      </c>
      <c r="F363">
        <v>1</v>
      </c>
      <c r="G363">
        <v>4</v>
      </c>
      <c r="H363">
        <v>10</v>
      </c>
      <c r="I363">
        <v>20</v>
      </c>
      <c r="J363" t="str">
        <f>_xlfn.TEXTJOIN("-",,H363,I363)</f>
        <v>10-20</v>
      </c>
      <c r="K363" t="s">
        <v>27</v>
      </c>
      <c r="L363" t="s">
        <v>16</v>
      </c>
      <c r="M363" s="3">
        <v>0.67600003210827697</v>
      </c>
      <c r="N363" t="s">
        <v>17</v>
      </c>
    </row>
    <row r="364" spans="1:14" hidden="1" x14ac:dyDescent="0.2">
      <c r="A364" t="s">
        <v>21</v>
      </c>
      <c r="B364" t="s">
        <v>14</v>
      </c>
      <c r="C364" s="2">
        <v>37565</v>
      </c>
      <c r="D364">
        <v>694929</v>
      </c>
      <c r="E364">
        <v>6209746</v>
      </c>
      <c r="F364">
        <v>1</v>
      </c>
      <c r="G364">
        <v>3</v>
      </c>
      <c r="H364">
        <v>5</v>
      </c>
      <c r="I364">
        <v>10</v>
      </c>
      <c r="J364" t="str">
        <f>_xlfn.TEXTJOIN("-",,H364,I364)</f>
        <v>5-10</v>
      </c>
      <c r="K364" t="s">
        <v>22</v>
      </c>
      <c r="L364" t="s">
        <v>16</v>
      </c>
      <c r="M364" s="3">
        <v>11.9</v>
      </c>
      <c r="N364" t="s">
        <v>23</v>
      </c>
    </row>
    <row r="365" spans="1:14" hidden="1" x14ac:dyDescent="0.2">
      <c r="A365" t="s">
        <v>21</v>
      </c>
      <c r="B365" t="s">
        <v>14</v>
      </c>
      <c r="C365" s="2">
        <v>37565</v>
      </c>
      <c r="D365">
        <v>694929</v>
      </c>
      <c r="E365">
        <v>6209746</v>
      </c>
      <c r="F365">
        <v>1</v>
      </c>
      <c r="G365">
        <v>1</v>
      </c>
      <c r="H365">
        <v>0</v>
      </c>
      <c r="I365">
        <v>2</v>
      </c>
      <c r="J365" t="str">
        <f>_xlfn.TEXTJOIN("-",,H365,I365)</f>
        <v>0-2</v>
      </c>
      <c r="K365" t="s">
        <v>25</v>
      </c>
      <c r="L365" t="s">
        <v>16</v>
      </c>
      <c r="M365" s="3">
        <v>30.6</v>
      </c>
      <c r="N365" t="s">
        <v>26</v>
      </c>
    </row>
    <row r="366" spans="1:14" hidden="1" x14ac:dyDescent="0.2">
      <c r="A366" t="s">
        <v>13</v>
      </c>
      <c r="B366" t="s">
        <v>14</v>
      </c>
      <c r="C366" s="2">
        <v>37565</v>
      </c>
      <c r="D366">
        <v>695956</v>
      </c>
      <c r="E366">
        <v>6208568</v>
      </c>
      <c r="F366">
        <v>1</v>
      </c>
      <c r="G366">
        <v>1</v>
      </c>
      <c r="H366">
        <v>0</v>
      </c>
      <c r="I366">
        <v>2</v>
      </c>
      <c r="J366" t="str">
        <f>_xlfn.TEXTJOIN("-",,H366,I366)</f>
        <v>0-2</v>
      </c>
      <c r="K366" t="s">
        <v>25</v>
      </c>
      <c r="L366" t="s">
        <v>16</v>
      </c>
      <c r="M366" s="3">
        <v>26.4</v>
      </c>
      <c r="N366" t="s">
        <v>26</v>
      </c>
    </row>
    <row r="367" spans="1:14" hidden="1" x14ac:dyDescent="0.2">
      <c r="A367" t="s">
        <v>13</v>
      </c>
      <c r="B367" t="s">
        <v>14</v>
      </c>
      <c r="C367" s="2">
        <v>37565</v>
      </c>
      <c r="D367">
        <v>695956</v>
      </c>
      <c r="E367">
        <v>6208568</v>
      </c>
      <c r="F367">
        <v>1</v>
      </c>
      <c r="G367">
        <v>5</v>
      </c>
      <c r="H367">
        <v>20</v>
      </c>
      <c r="I367">
        <v>30</v>
      </c>
      <c r="J367" t="str">
        <f>_xlfn.TEXTJOIN("-",,H367,I367)</f>
        <v>20-30</v>
      </c>
      <c r="K367" t="s">
        <v>15</v>
      </c>
      <c r="L367" t="s">
        <v>16</v>
      </c>
      <c r="M367" s="3">
        <v>14.7000006982125</v>
      </c>
      <c r="N367" t="s">
        <v>17</v>
      </c>
    </row>
    <row r="368" spans="1:14" hidden="1" x14ac:dyDescent="0.2">
      <c r="A368" t="s">
        <v>18</v>
      </c>
      <c r="B368" t="s">
        <v>19</v>
      </c>
      <c r="C368" s="2">
        <v>37565</v>
      </c>
      <c r="D368">
        <v>692735</v>
      </c>
      <c r="E368">
        <v>6209960</v>
      </c>
      <c r="F368">
        <v>1</v>
      </c>
      <c r="G368">
        <v>3</v>
      </c>
      <c r="H368">
        <v>5</v>
      </c>
      <c r="I368">
        <v>10</v>
      </c>
      <c r="J368" t="str">
        <f>_xlfn.TEXTJOIN("-",,H368,I368)</f>
        <v>5-10</v>
      </c>
      <c r="K368" t="s">
        <v>22</v>
      </c>
      <c r="L368" t="s">
        <v>16</v>
      </c>
      <c r="M368" s="3">
        <v>18.100000000000001</v>
      </c>
      <c r="N368" t="s">
        <v>23</v>
      </c>
    </row>
    <row r="369" spans="1:14" hidden="1" x14ac:dyDescent="0.2">
      <c r="A369" t="s">
        <v>21</v>
      </c>
      <c r="B369" t="s">
        <v>14</v>
      </c>
      <c r="C369" s="2">
        <v>37565</v>
      </c>
      <c r="D369">
        <v>694929</v>
      </c>
      <c r="E369">
        <v>6209746</v>
      </c>
      <c r="F369">
        <v>1</v>
      </c>
      <c r="G369">
        <v>5</v>
      </c>
      <c r="H369">
        <v>20</v>
      </c>
      <c r="I369">
        <v>30</v>
      </c>
      <c r="J369" t="str">
        <f>_xlfn.TEXTJOIN("-",,H369,I369)</f>
        <v>20-30</v>
      </c>
      <c r="K369" t="s">
        <v>20</v>
      </c>
      <c r="L369" t="s">
        <v>16</v>
      </c>
      <c r="M369" s="3">
        <v>148.00000702962299</v>
      </c>
      <c r="N369" t="s">
        <v>17</v>
      </c>
    </row>
    <row r="370" spans="1:14" hidden="1" x14ac:dyDescent="0.2">
      <c r="A370" t="s">
        <v>13</v>
      </c>
      <c r="B370" t="s">
        <v>14</v>
      </c>
      <c r="C370" s="2">
        <v>37565</v>
      </c>
      <c r="D370">
        <v>695956</v>
      </c>
      <c r="E370">
        <v>6208568</v>
      </c>
      <c r="F370">
        <v>1</v>
      </c>
      <c r="G370">
        <v>4</v>
      </c>
      <c r="H370">
        <v>10</v>
      </c>
      <c r="I370">
        <v>20</v>
      </c>
      <c r="J370" t="str">
        <f>_xlfn.TEXTJOIN("-",,H370,I370)</f>
        <v>10-20</v>
      </c>
      <c r="K370" t="s">
        <v>22</v>
      </c>
      <c r="L370" t="s">
        <v>16</v>
      </c>
      <c r="M370" s="3">
        <v>17.7</v>
      </c>
      <c r="N370" t="s">
        <v>23</v>
      </c>
    </row>
    <row r="371" spans="1:14" hidden="1" x14ac:dyDescent="0.2">
      <c r="A371" t="s">
        <v>21</v>
      </c>
      <c r="B371" t="s">
        <v>14</v>
      </c>
      <c r="C371" s="2">
        <v>37565</v>
      </c>
      <c r="D371">
        <v>694929</v>
      </c>
      <c r="E371">
        <v>6209746</v>
      </c>
      <c r="F371">
        <v>1</v>
      </c>
      <c r="G371">
        <v>1</v>
      </c>
      <c r="H371">
        <v>0</v>
      </c>
      <c r="I371">
        <v>2</v>
      </c>
      <c r="J371" t="str">
        <f>_xlfn.TEXTJOIN("-",,H371,I371)</f>
        <v>0-2</v>
      </c>
      <c r="K371" t="s">
        <v>20</v>
      </c>
      <c r="L371" t="s">
        <v>16</v>
      </c>
      <c r="M371" s="3">
        <v>199.10000945674301</v>
      </c>
      <c r="N371" t="s">
        <v>17</v>
      </c>
    </row>
    <row r="372" spans="1:14" hidden="1" x14ac:dyDescent="0.2">
      <c r="A372" t="s">
        <v>21</v>
      </c>
      <c r="B372" t="s">
        <v>14</v>
      </c>
      <c r="C372" s="2">
        <v>37565</v>
      </c>
      <c r="D372">
        <v>694929</v>
      </c>
      <c r="E372">
        <v>6209746</v>
      </c>
      <c r="F372">
        <v>1</v>
      </c>
      <c r="G372">
        <v>6</v>
      </c>
      <c r="H372">
        <v>30</v>
      </c>
      <c r="I372">
        <v>50</v>
      </c>
      <c r="J372" t="str">
        <f>_xlfn.TEXTJOIN("-",,H372,I372)</f>
        <v>30-50</v>
      </c>
      <c r="K372" t="s">
        <v>15</v>
      </c>
      <c r="L372" t="s">
        <v>16</v>
      </c>
      <c r="M372" s="3">
        <v>15.4000007314608</v>
      </c>
      <c r="N372" t="s">
        <v>17</v>
      </c>
    </row>
    <row r="373" spans="1:14" hidden="1" x14ac:dyDescent="0.2">
      <c r="A373" t="s">
        <v>21</v>
      </c>
      <c r="B373" t="s">
        <v>14</v>
      </c>
      <c r="C373" s="2">
        <v>37565</v>
      </c>
      <c r="D373">
        <v>694929</v>
      </c>
      <c r="E373">
        <v>6209746</v>
      </c>
      <c r="F373">
        <v>1</v>
      </c>
      <c r="G373">
        <v>4</v>
      </c>
      <c r="H373">
        <v>10</v>
      </c>
      <c r="I373">
        <v>20</v>
      </c>
      <c r="J373" t="str">
        <f>_xlfn.TEXTJOIN("-",,H373,I373)</f>
        <v>10-20</v>
      </c>
      <c r="K373" t="s">
        <v>15</v>
      </c>
      <c r="L373" t="s">
        <v>16</v>
      </c>
      <c r="M373" s="3">
        <v>18.600000883452601</v>
      </c>
      <c r="N373" t="s">
        <v>17</v>
      </c>
    </row>
    <row r="374" spans="1:14" hidden="1" x14ac:dyDescent="0.2">
      <c r="A374" t="s">
        <v>13</v>
      </c>
      <c r="B374" t="s">
        <v>14</v>
      </c>
      <c r="C374" s="2">
        <v>37565</v>
      </c>
      <c r="D374">
        <v>695956</v>
      </c>
      <c r="E374">
        <v>6208568</v>
      </c>
      <c r="F374">
        <v>1</v>
      </c>
      <c r="G374">
        <v>6</v>
      </c>
      <c r="H374">
        <v>30</v>
      </c>
      <c r="I374">
        <v>50</v>
      </c>
      <c r="J374" t="str">
        <f>_xlfn.TEXTJOIN("-",,H374,I374)</f>
        <v>30-50</v>
      </c>
      <c r="K374" t="s">
        <v>15</v>
      </c>
      <c r="L374" t="s">
        <v>16</v>
      </c>
      <c r="M374" s="3">
        <v>15.500000736210501</v>
      </c>
      <c r="N374" t="s">
        <v>17</v>
      </c>
    </row>
    <row r="375" spans="1:14" hidden="1" x14ac:dyDescent="0.2">
      <c r="A375" t="s">
        <v>18</v>
      </c>
      <c r="B375" t="s">
        <v>19</v>
      </c>
      <c r="C375" s="2">
        <v>37565</v>
      </c>
      <c r="D375">
        <v>692735</v>
      </c>
      <c r="E375">
        <v>6209960</v>
      </c>
      <c r="F375">
        <v>1</v>
      </c>
      <c r="G375">
        <v>6</v>
      </c>
      <c r="H375">
        <v>30</v>
      </c>
      <c r="I375">
        <v>50</v>
      </c>
      <c r="J375" t="str">
        <f>_xlfn.TEXTJOIN("-",,H375,I375)</f>
        <v>30-50</v>
      </c>
      <c r="K375" t="s">
        <v>15</v>
      </c>
      <c r="L375" t="s">
        <v>16</v>
      </c>
      <c r="M375" s="3">
        <v>10.5000004987232</v>
      </c>
      <c r="N375" t="s">
        <v>17</v>
      </c>
    </row>
    <row r="376" spans="1:14" hidden="1" x14ac:dyDescent="0.2">
      <c r="A376" t="s">
        <v>13</v>
      </c>
      <c r="B376" t="s">
        <v>14</v>
      </c>
      <c r="C376" s="2">
        <v>37565</v>
      </c>
      <c r="D376">
        <v>695956</v>
      </c>
      <c r="E376">
        <v>6208568</v>
      </c>
      <c r="F376">
        <v>1</v>
      </c>
      <c r="G376">
        <v>6</v>
      </c>
      <c r="H376">
        <v>30</v>
      </c>
      <c r="I376">
        <v>50</v>
      </c>
      <c r="J376" t="str">
        <f>_xlfn.TEXTJOIN("-",,H376,I376)</f>
        <v>30-50</v>
      </c>
      <c r="K376" t="s">
        <v>27</v>
      </c>
      <c r="L376" t="s">
        <v>16</v>
      </c>
      <c r="M376" s="3">
        <v>0.57700002740602896</v>
      </c>
      <c r="N376" t="s">
        <v>17</v>
      </c>
    </row>
    <row r="377" spans="1:14" hidden="1" x14ac:dyDescent="0.2">
      <c r="A377" t="s">
        <v>21</v>
      </c>
      <c r="B377" t="s">
        <v>14</v>
      </c>
      <c r="C377" s="2">
        <v>37565</v>
      </c>
      <c r="D377">
        <v>694929</v>
      </c>
      <c r="E377">
        <v>6209746</v>
      </c>
      <c r="F377">
        <v>1</v>
      </c>
      <c r="G377">
        <v>5</v>
      </c>
      <c r="H377">
        <v>20</v>
      </c>
      <c r="I377">
        <v>30</v>
      </c>
      <c r="J377" t="str">
        <f>_xlfn.TEXTJOIN("-",,H377,I377)</f>
        <v>20-30</v>
      </c>
      <c r="K377" t="s">
        <v>27</v>
      </c>
      <c r="L377" t="s">
        <v>16</v>
      </c>
      <c r="M377" s="3">
        <v>0.68700003263074905</v>
      </c>
      <c r="N377" t="s">
        <v>17</v>
      </c>
    </row>
    <row r="378" spans="1:14" hidden="1" x14ac:dyDescent="0.2">
      <c r="A378" t="s">
        <v>18</v>
      </c>
      <c r="B378" t="s">
        <v>19</v>
      </c>
      <c r="C378" s="2">
        <v>37565</v>
      </c>
      <c r="D378">
        <v>692735</v>
      </c>
      <c r="E378">
        <v>6209960</v>
      </c>
      <c r="F378">
        <v>1</v>
      </c>
      <c r="G378">
        <v>2</v>
      </c>
      <c r="H378">
        <v>2</v>
      </c>
      <c r="I378">
        <v>5</v>
      </c>
      <c r="J378" t="str">
        <f>_xlfn.TEXTJOIN("-",,H378,I378)</f>
        <v>2-5</v>
      </c>
      <c r="K378" t="s">
        <v>20</v>
      </c>
      <c r="L378" t="s">
        <v>16</v>
      </c>
      <c r="M378" s="3">
        <v>95.700004545506104</v>
      </c>
      <c r="N378" t="s">
        <v>17</v>
      </c>
    </row>
    <row r="379" spans="1:14" hidden="1" x14ac:dyDescent="0.2">
      <c r="A379" t="s">
        <v>13</v>
      </c>
      <c r="B379" t="s">
        <v>14</v>
      </c>
      <c r="C379" s="2">
        <v>37565</v>
      </c>
      <c r="D379">
        <v>695956</v>
      </c>
      <c r="E379">
        <v>6208568</v>
      </c>
      <c r="F379">
        <v>1</v>
      </c>
      <c r="G379">
        <v>3</v>
      </c>
      <c r="H379">
        <v>5</v>
      </c>
      <c r="I379">
        <v>10</v>
      </c>
      <c r="J379" t="str">
        <f>_xlfn.TEXTJOIN("-",,H379,I379)</f>
        <v>5-10</v>
      </c>
      <c r="K379" t="s">
        <v>25</v>
      </c>
      <c r="L379" t="s">
        <v>16</v>
      </c>
      <c r="M379" s="3">
        <v>13.5</v>
      </c>
      <c r="N379" t="s">
        <v>26</v>
      </c>
    </row>
    <row r="380" spans="1:14" hidden="1" x14ac:dyDescent="0.2">
      <c r="A380" t="s">
        <v>21</v>
      </c>
      <c r="B380" t="s">
        <v>14</v>
      </c>
      <c r="C380" s="2">
        <v>37565</v>
      </c>
      <c r="D380">
        <v>694929</v>
      </c>
      <c r="E380">
        <v>6209746</v>
      </c>
      <c r="F380">
        <v>1</v>
      </c>
      <c r="G380">
        <v>3</v>
      </c>
      <c r="H380">
        <v>5</v>
      </c>
      <c r="I380">
        <v>10</v>
      </c>
      <c r="J380" t="str">
        <f>_xlfn.TEXTJOIN("-",,H380,I380)</f>
        <v>5-10</v>
      </c>
      <c r="K380" t="s">
        <v>15</v>
      </c>
      <c r="L380" t="s">
        <v>16</v>
      </c>
      <c r="M380" s="3">
        <v>15.6000007409602</v>
      </c>
      <c r="N380" t="s">
        <v>17</v>
      </c>
    </row>
    <row r="381" spans="1:14" hidden="1" x14ac:dyDescent="0.2">
      <c r="A381" t="s">
        <v>13</v>
      </c>
      <c r="B381" t="s">
        <v>14</v>
      </c>
      <c r="C381" s="2">
        <v>37565</v>
      </c>
      <c r="D381">
        <v>695956</v>
      </c>
      <c r="E381">
        <v>6208568</v>
      </c>
      <c r="F381">
        <v>1</v>
      </c>
      <c r="G381">
        <v>3</v>
      </c>
      <c r="H381">
        <v>5</v>
      </c>
      <c r="I381">
        <v>10</v>
      </c>
      <c r="J381" t="str">
        <f>_xlfn.TEXTJOIN("-",,H381,I381)</f>
        <v>5-10</v>
      </c>
      <c r="K381" t="s">
        <v>20</v>
      </c>
      <c r="L381" t="s">
        <v>16</v>
      </c>
      <c r="M381" s="3">
        <v>64.000003039836898</v>
      </c>
      <c r="N381" t="s">
        <v>17</v>
      </c>
    </row>
    <row r="382" spans="1:14" hidden="1" x14ac:dyDescent="0.2">
      <c r="A382" t="s">
        <v>21</v>
      </c>
      <c r="B382" t="s">
        <v>14</v>
      </c>
      <c r="C382" s="2">
        <v>37565</v>
      </c>
      <c r="D382">
        <v>694929</v>
      </c>
      <c r="E382">
        <v>6209746</v>
      </c>
      <c r="F382">
        <v>1</v>
      </c>
      <c r="G382">
        <v>5</v>
      </c>
      <c r="H382">
        <v>20</v>
      </c>
      <c r="I382">
        <v>30</v>
      </c>
      <c r="J382" t="str">
        <f>_xlfn.TEXTJOIN("-",,H382,I382)</f>
        <v>20-30</v>
      </c>
      <c r="K382" t="s">
        <v>15</v>
      </c>
      <c r="L382" t="s">
        <v>16</v>
      </c>
      <c r="M382" s="3">
        <v>15.300000726711</v>
      </c>
      <c r="N382" t="s">
        <v>17</v>
      </c>
    </row>
    <row r="383" spans="1:14" hidden="1" x14ac:dyDescent="0.2">
      <c r="A383" t="s">
        <v>18</v>
      </c>
      <c r="B383" t="s">
        <v>19</v>
      </c>
      <c r="C383" s="2">
        <v>40128</v>
      </c>
      <c r="D383">
        <v>692735</v>
      </c>
      <c r="E383">
        <v>6209960</v>
      </c>
      <c r="F383">
        <v>1</v>
      </c>
      <c r="G383">
        <v>3</v>
      </c>
      <c r="H383">
        <v>5</v>
      </c>
      <c r="I383">
        <v>10</v>
      </c>
      <c r="J383" t="str">
        <f>_xlfn.TEXTJOIN("-",,H383,I383)</f>
        <v>5-10</v>
      </c>
      <c r="K383" t="s">
        <v>22</v>
      </c>
      <c r="L383" t="s">
        <v>16</v>
      </c>
      <c r="M383" s="3">
        <v>6.79</v>
      </c>
      <c r="N383" t="s">
        <v>23</v>
      </c>
    </row>
    <row r="384" spans="1:14" hidden="1" x14ac:dyDescent="0.2">
      <c r="A384" t="s">
        <v>13</v>
      </c>
      <c r="B384" t="s">
        <v>14</v>
      </c>
      <c r="C384" s="2">
        <v>40128</v>
      </c>
      <c r="D384">
        <v>695956</v>
      </c>
      <c r="E384">
        <v>6208568</v>
      </c>
      <c r="F384">
        <v>1</v>
      </c>
      <c r="G384">
        <v>5</v>
      </c>
      <c r="H384">
        <v>20</v>
      </c>
      <c r="I384">
        <v>30</v>
      </c>
      <c r="J384" t="str">
        <f>_xlfn.TEXTJOIN("-",,H384,I384)</f>
        <v>20-30</v>
      </c>
      <c r="K384" t="s">
        <v>27</v>
      </c>
      <c r="L384" t="s">
        <v>16</v>
      </c>
      <c r="M384" s="3">
        <v>0.40900001942645797</v>
      </c>
      <c r="N384" t="s">
        <v>17</v>
      </c>
    </row>
    <row r="385" spans="1:14" hidden="1" x14ac:dyDescent="0.2">
      <c r="A385" t="s">
        <v>13</v>
      </c>
      <c r="B385" t="s">
        <v>14</v>
      </c>
      <c r="C385" s="2">
        <v>40128</v>
      </c>
      <c r="D385">
        <v>695956</v>
      </c>
      <c r="E385">
        <v>6208568</v>
      </c>
      <c r="F385">
        <v>1</v>
      </c>
      <c r="G385">
        <v>1</v>
      </c>
      <c r="H385">
        <v>0</v>
      </c>
      <c r="I385">
        <v>2</v>
      </c>
      <c r="J385" t="str">
        <f>_xlfn.TEXTJOIN("-",,H385,I385)</f>
        <v>0-2</v>
      </c>
      <c r="K385" t="s">
        <v>25</v>
      </c>
      <c r="L385" t="s">
        <v>16</v>
      </c>
      <c r="M385" s="3">
        <v>32</v>
      </c>
      <c r="N385" t="s">
        <v>26</v>
      </c>
    </row>
    <row r="386" spans="1:14" hidden="1" x14ac:dyDescent="0.2">
      <c r="A386" t="s">
        <v>18</v>
      </c>
      <c r="B386" t="s">
        <v>19</v>
      </c>
      <c r="C386" s="2">
        <v>40128</v>
      </c>
      <c r="D386">
        <v>692735</v>
      </c>
      <c r="E386">
        <v>6209960</v>
      </c>
      <c r="F386">
        <v>1</v>
      </c>
      <c r="G386">
        <v>4</v>
      </c>
      <c r="H386">
        <v>10</v>
      </c>
      <c r="I386">
        <v>20</v>
      </c>
      <c r="J386" t="str">
        <f>_xlfn.TEXTJOIN("-",,H386,I386)</f>
        <v>10-20</v>
      </c>
      <c r="K386" t="s">
        <v>25</v>
      </c>
      <c r="L386" t="s">
        <v>16</v>
      </c>
      <c r="M386" s="3">
        <v>31.3</v>
      </c>
      <c r="N386" t="s">
        <v>26</v>
      </c>
    </row>
    <row r="387" spans="1:14" hidden="1" x14ac:dyDescent="0.2">
      <c r="A387" t="s">
        <v>18</v>
      </c>
      <c r="B387" t="s">
        <v>19</v>
      </c>
      <c r="C387" s="2">
        <v>40128</v>
      </c>
      <c r="D387">
        <v>692735</v>
      </c>
      <c r="E387">
        <v>6209960</v>
      </c>
      <c r="F387">
        <v>1</v>
      </c>
      <c r="G387">
        <v>4</v>
      </c>
      <c r="H387">
        <v>10</v>
      </c>
      <c r="I387">
        <v>20</v>
      </c>
      <c r="J387" t="str">
        <f>_xlfn.TEXTJOIN("-",,H387,I387)</f>
        <v>10-20</v>
      </c>
      <c r="K387" t="s">
        <v>22</v>
      </c>
      <c r="L387" t="s">
        <v>16</v>
      </c>
      <c r="M387" s="3">
        <v>8.65</v>
      </c>
      <c r="N387" t="s">
        <v>23</v>
      </c>
    </row>
    <row r="388" spans="1:14" hidden="1" x14ac:dyDescent="0.2">
      <c r="A388" t="s">
        <v>18</v>
      </c>
      <c r="B388" t="s">
        <v>19</v>
      </c>
      <c r="C388" s="2">
        <v>40128</v>
      </c>
      <c r="D388">
        <v>692735</v>
      </c>
      <c r="E388">
        <v>6209960</v>
      </c>
      <c r="F388">
        <v>1</v>
      </c>
      <c r="G388">
        <v>1</v>
      </c>
      <c r="H388">
        <v>0</v>
      </c>
      <c r="I388">
        <v>2</v>
      </c>
      <c r="J388" t="str">
        <f>_xlfn.TEXTJOIN("-",,H388,I388)</f>
        <v>0-2</v>
      </c>
      <c r="K388" t="s">
        <v>15</v>
      </c>
      <c r="L388" t="s">
        <v>16</v>
      </c>
      <c r="M388" s="3">
        <v>8.7900004175026005</v>
      </c>
      <c r="N388" t="s">
        <v>17</v>
      </c>
    </row>
    <row r="389" spans="1:14" hidden="1" x14ac:dyDescent="0.2">
      <c r="A389" t="s">
        <v>21</v>
      </c>
      <c r="B389" t="s">
        <v>14</v>
      </c>
      <c r="C389" s="2">
        <v>40128</v>
      </c>
      <c r="D389">
        <v>694929</v>
      </c>
      <c r="E389">
        <v>6209746</v>
      </c>
      <c r="F389">
        <v>1</v>
      </c>
      <c r="G389">
        <v>6</v>
      </c>
      <c r="H389">
        <v>30</v>
      </c>
      <c r="I389">
        <v>39</v>
      </c>
      <c r="J389" t="str">
        <f>_xlfn.TEXTJOIN("-",,H389,I389)</f>
        <v>30-39</v>
      </c>
      <c r="K389" t="s">
        <v>15</v>
      </c>
      <c r="L389" t="s">
        <v>16</v>
      </c>
      <c r="M389" s="3">
        <v>11.500000546220701</v>
      </c>
      <c r="N389" t="s">
        <v>17</v>
      </c>
    </row>
    <row r="390" spans="1:14" hidden="1" x14ac:dyDescent="0.2">
      <c r="A390" t="s">
        <v>13</v>
      </c>
      <c r="B390" t="s">
        <v>14</v>
      </c>
      <c r="C390" s="2">
        <v>40128</v>
      </c>
      <c r="D390">
        <v>695956</v>
      </c>
      <c r="E390">
        <v>6208568</v>
      </c>
      <c r="F390">
        <v>1</v>
      </c>
      <c r="G390">
        <v>3</v>
      </c>
      <c r="H390">
        <v>5</v>
      </c>
      <c r="I390">
        <v>10</v>
      </c>
      <c r="J390" t="str">
        <f>_xlfn.TEXTJOIN("-",,H390,I390)</f>
        <v>5-10</v>
      </c>
      <c r="K390" t="s">
        <v>25</v>
      </c>
      <c r="L390" t="s">
        <v>16</v>
      </c>
      <c r="M390" s="3">
        <v>17.5</v>
      </c>
      <c r="N390" t="s">
        <v>26</v>
      </c>
    </row>
    <row r="391" spans="1:14" hidden="1" x14ac:dyDescent="0.2">
      <c r="A391" t="s">
        <v>18</v>
      </c>
      <c r="B391" t="s">
        <v>19</v>
      </c>
      <c r="C391" s="2">
        <v>40128</v>
      </c>
      <c r="D391">
        <v>692735</v>
      </c>
      <c r="E391">
        <v>6209960</v>
      </c>
      <c r="F391">
        <v>1</v>
      </c>
      <c r="G391">
        <v>6</v>
      </c>
      <c r="H391">
        <v>30</v>
      </c>
      <c r="I391">
        <v>45</v>
      </c>
      <c r="J391" t="str">
        <f>_xlfn.TEXTJOIN("-",,H391,I391)</f>
        <v>30-45</v>
      </c>
      <c r="K391" t="s">
        <v>25</v>
      </c>
      <c r="L391" t="s">
        <v>16</v>
      </c>
      <c r="M391" s="3">
        <v>36.799999999999997</v>
      </c>
      <c r="N391" t="s">
        <v>26</v>
      </c>
    </row>
    <row r="392" spans="1:14" hidden="1" x14ac:dyDescent="0.2">
      <c r="A392" t="s">
        <v>13</v>
      </c>
      <c r="B392" t="s">
        <v>14</v>
      </c>
      <c r="C392" s="2">
        <v>40128</v>
      </c>
      <c r="D392">
        <v>695956</v>
      </c>
      <c r="E392">
        <v>6208568</v>
      </c>
      <c r="F392">
        <v>1</v>
      </c>
      <c r="G392">
        <v>6</v>
      </c>
      <c r="H392">
        <v>30</v>
      </c>
      <c r="I392">
        <v>48</v>
      </c>
      <c r="J392" t="str">
        <f>_xlfn.TEXTJOIN("-",,H392,I392)</f>
        <v>30-48</v>
      </c>
      <c r="K392" t="s">
        <v>27</v>
      </c>
      <c r="L392" t="s">
        <v>16</v>
      </c>
      <c r="M392" s="3">
        <v>0.27100001287180903</v>
      </c>
      <c r="N392" t="s">
        <v>17</v>
      </c>
    </row>
    <row r="393" spans="1:14" hidden="1" x14ac:dyDescent="0.2">
      <c r="A393" t="s">
        <v>21</v>
      </c>
      <c r="B393" t="s">
        <v>14</v>
      </c>
      <c r="C393" s="2">
        <v>40128</v>
      </c>
      <c r="D393">
        <v>694929</v>
      </c>
      <c r="E393">
        <v>6209746</v>
      </c>
      <c r="F393">
        <v>1</v>
      </c>
      <c r="G393">
        <v>5</v>
      </c>
      <c r="H393">
        <v>20</v>
      </c>
      <c r="I393">
        <v>30</v>
      </c>
      <c r="J393" t="str">
        <f>_xlfn.TEXTJOIN("-",,H393,I393)</f>
        <v>20-30</v>
      </c>
      <c r="K393" t="s">
        <v>25</v>
      </c>
      <c r="L393" t="s">
        <v>16</v>
      </c>
      <c r="M393" s="3">
        <v>16.8</v>
      </c>
      <c r="N393" t="s">
        <v>26</v>
      </c>
    </row>
    <row r="394" spans="1:14" hidden="1" x14ac:dyDescent="0.2">
      <c r="A394" t="s">
        <v>13</v>
      </c>
      <c r="B394" t="s">
        <v>14</v>
      </c>
      <c r="C394" s="2">
        <v>40128</v>
      </c>
      <c r="D394">
        <v>695956</v>
      </c>
      <c r="E394">
        <v>6208568</v>
      </c>
      <c r="F394">
        <v>1</v>
      </c>
      <c r="G394">
        <v>5</v>
      </c>
      <c r="H394">
        <v>20</v>
      </c>
      <c r="I394">
        <v>30</v>
      </c>
      <c r="J394" t="str">
        <f>_xlfn.TEXTJOIN("-",,H394,I394)</f>
        <v>20-30</v>
      </c>
      <c r="K394" t="s">
        <v>22</v>
      </c>
      <c r="L394" t="s">
        <v>16</v>
      </c>
      <c r="M394" s="3">
        <v>30.3</v>
      </c>
      <c r="N394" t="s">
        <v>23</v>
      </c>
    </row>
    <row r="395" spans="1:14" hidden="1" x14ac:dyDescent="0.2">
      <c r="A395" t="s">
        <v>18</v>
      </c>
      <c r="B395" t="s">
        <v>19</v>
      </c>
      <c r="C395" s="2">
        <v>34330</v>
      </c>
      <c r="D395">
        <v>692735</v>
      </c>
      <c r="E395">
        <v>6209960</v>
      </c>
      <c r="F395">
        <v>2</v>
      </c>
      <c r="G395">
        <v>3</v>
      </c>
      <c r="H395">
        <v>5</v>
      </c>
      <c r="I395">
        <v>10</v>
      </c>
      <c r="J395" t="str">
        <f>_xlfn.TEXTJOIN("-",,H395,I395)</f>
        <v>5-10</v>
      </c>
      <c r="K395" t="s">
        <v>24</v>
      </c>
      <c r="L395" t="s">
        <v>16</v>
      </c>
      <c r="M395" s="3">
        <v>12.600000598467901</v>
      </c>
      <c r="N395" t="s">
        <v>17</v>
      </c>
    </row>
    <row r="396" spans="1:14" hidden="1" x14ac:dyDescent="0.2">
      <c r="A396" t="s">
        <v>18</v>
      </c>
      <c r="B396" t="s">
        <v>19</v>
      </c>
      <c r="C396" s="2">
        <v>34330</v>
      </c>
      <c r="D396">
        <v>692735</v>
      </c>
      <c r="E396">
        <v>6209960</v>
      </c>
      <c r="F396">
        <v>1</v>
      </c>
      <c r="G396">
        <v>3</v>
      </c>
      <c r="H396">
        <v>5</v>
      </c>
      <c r="I396">
        <v>10</v>
      </c>
      <c r="J396" t="str">
        <f>_xlfn.TEXTJOIN("-",,H396,I396)</f>
        <v>5-10</v>
      </c>
      <c r="K396" t="s">
        <v>24</v>
      </c>
      <c r="L396" t="s">
        <v>16</v>
      </c>
      <c r="M396" s="3">
        <v>11.800000560469901</v>
      </c>
      <c r="N396" t="s">
        <v>17</v>
      </c>
    </row>
    <row r="397" spans="1:14" hidden="1" x14ac:dyDescent="0.2">
      <c r="A397" t="s">
        <v>21</v>
      </c>
      <c r="B397" t="s">
        <v>14</v>
      </c>
      <c r="C397" s="2">
        <v>40128</v>
      </c>
      <c r="D397">
        <v>694929</v>
      </c>
      <c r="E397">
        <v>6209746</v>
      </c>
      <c r="F397">
        <v>1</v>
      </c>
      <c r="G397">
        <v>6</v>
      </c>
      <c r="H397">
        <v>30</v>
      </c>
      <c r="I397">
        <v>39</v>
      </c>
      <c r="J397" t="str">
        <f>_xlfn.TEXTJOIN("-",,H397,I397)</f>
        <v>30-39</v>
      </c>
      <c r="K397" t="s">
        <v>22</v>
      </c>
      <c r="L397" t="s">
        <v>16</v>
      </c>
      <c r="M397" s="3">
        <v>15.8</v>
      </c>
      <c r="N397" t="s">
        <v>23</v>
      </c>
    </row>
    <row r="398" spans="1:14" hidden="1" x14ac:dyDescent="0.2">
      <c r="A398" t="s">
        <v>21</v>
      </c>
      <c r="B398" t="s">
        <v>14</v>
      </c>
      <c r="C398" s="2">
        <v>40128</v>
      </c>
      <c r="D398">
        <v>694929</v>
      </c>
      <c r="E398">
        <v>6209746</v>
      </c>
      <c r="F398">
        <v>1</v>
      </c>
      <c r="G398">
        <v>4</v>
      </c>
      <c r="H398">
        <v>10</v>
      </c>
      <c r="I398">
        <v>20</v>
      </c>
      <c r="J398" t="str">
        <f>_xlfn.TEXTJOIN("-",,H398,I398)</f>
        <v>10-20</v>
      </c>
      <c r="K398" t="s">
        <v>15</v>
      </c>
      <c r="L398" t="s">
        <v>16</v>
      </c>
      <c r="M398" s="3">
        <v>9.8800004692748207</v>
      </c>
      <c r="N398" t="s">
        <v>17</v>
      </c>
    </row>
    <row r="399" spans="1:14" hidden="1" x14ac:dyDescent="0.2">
      <c r="A399" t="s">
        <v>13</v>
      </c>
      <c r="B399" t="s">
        <v>14</v>
      </c>
      <c r="C399" s="2">
        <v>40128</v>
      </c>
      <c r="D399">
        <v>695956</v>
      </c>
      <c r="E399">
        <v>6208568</v>
      </c>
      <c r="F399">
        <v>1</v>
      </c>
      <c r="G399">
        <v>3</v>
      </c>
      <c r="H399">
        <v>5</v>
      </c>
      <c r="I399">
        <v>10</v>
      </c>
      <c r="J399" t="str">
        <f>_xlfn.TEXTJOIN("-",,H399,I399)</f>
        <v>5-10</v>
      </c>
      <c r="K399" t="s">
        <v>22</v>
      </c>
      <c r="L399" t="s">
        <v>16</v>
      </c>
      <c r="M399" s="3">
        <v>10.6</v>
      </c>
      <c r="N399" t="s">
        <v>23</v>
      </c>
    </row>
    <row r="400" spans="1:14" hidden="1" x14ac:dyDescent="0.2">
      <c r="A400" t="s">
        <v>13</v>
      </c>
      <c r="B400" t="s">
        <v>14</v>
      </c>
      <c r="C400" s="2">
        <v>40128</v>
      </c>
      <c r="D400">
        <v>695956</v>
      </c>
      <c r="E400">
        <v>6208568</v>
      </c>
      <c r="F400">
        <v>1</v>
      </c>
      <c r="G400">
        <v>5</v>
      </c>
      <c r="H400">
        <v>20</v>
      </c>
      <c r="I400">
        <v>30</v>
      </c>
      <c r="J400" t="str">
        <f>_xlfn.TEXTJOIN("-",,H400,I400)</f>
        <v>20-30</v>
      </c>
      <c r="K400" t="s">
        <v>25</v>
      </c>
      <c r="L400" t="s">
        <v>16</v>
      </c>
      <c r="M400" s="3">
        <v>11</v>
      </c>
      <c r="N400" t="s">
        <v>26</v>
      </c>
    </row>
    <row r="401" spans="1:14" hidden="1" x14ac:dyDescent="0.2">
      <c r="A401" t="s">
        <v>21</v>
      </c>
      <c r="B401" t="s">
        <v>14</v>
      </c>
      <c r="C401" s="2">
        <v>40128</v>
      </c>
      <c r="D401">
        <v>694929</v>
      </c>
      <c r="E401">
        <v>6209746</v>
      </c>
      <c r="F401">
        <v>1</v>
      </c>
      <c r="G401">
        <v>4</v>
      </c>
      <c r="H401">
        <v>10</v>
      </c>
      <c r="I401">
        <v>20</v>
      </c>
      <c r="J401" t="str">
        <f>_xlfn.TEXTJOIN("-",,H401,I401)</f>
        <v>10-20</v>
      </c>
      <c r="K401" t="s">
        <v>22</v>
      </c>
      <c r="L401" t="s">
        <v>16</v>
      </c>
      <c r="M401" s="3">
        <v>8.8699999999999992</v>
      </c>
      <c r="N401" t="s">
        <v>23</v>
      </c>
    </row>
    <row r="402" spans="1:14" hidden="1" x14ac:dyDescent="0.2">
      <c r="A402" t="s">
        <v>13</v>
      </c>
      <c r="B402" t="s">
        <v>14</v>
      </c>
      <c r="C402" s="2">
        <v>40128</v>
      </c>
      <c r="D402">
        <v>695956</v>
      </c>
      <c r="E402">
        <v>6208568</v>
      </c>
      <c r="F402">
        <v>1</v>
      </c>
      <c r="G402">
        <v>1</v>
      </c>
      <c r="H402">
        <v>0</v>
      </c>
      <c r="I402">
        <v>2</v>
      </c>
      <c r="J402" t="str">
        <f>_xlfn.TEXTJOIN("-",,H402,I402)</f>
        <v>0-2</v>
      </c>
      <c r="K402" t="s">
        <v>15</v>
      </c>
      <c r="L402" t="s">
        <v>16</v>
      </c>
      <c r="M402" s="3">
        <v>8.6400004103779793</v>
      </c>
      <c r="N402" t="s">
        <v>17</v>
      </c>
    </row>
    <row r="403" spans="1:14" hidden="1" x14ac:dyDescent="0.2">
      <c r="A403" t="s">
        <v>21</v>
      </c>
      <c r="B403" t="s">
        <v>14</v>
      </c>
      <c r="C403" s="2">
        <v>40128</v>
      </c>
      <c r="D403">
        <v>694929</v>
      </c>
      <c r="E403">
        <v>6209746</v>
      </c>
      <c r="F403">
        <v>1</v>
      </c>
      <c r="G403">
        <v>3</v>
      </c>
      <c r="H403">
        <v>5</v>
      </c>
      <c r="I403">
        <v>10</v>
      </c>
      <c r="J403" t="str">
        <f>_xlfn.TEXTJOIN("-",,H403,I403)</f>
        <v>5-10</v>
      </c>
      <c r="K403" t="s">
        <v>15</v>
      </c>
      <c r="L403" t="s">
        <v>16</v>
      </c>
      <c r="M403" s="3">
        <v>9.1000004322268104</v>
      </c>
      <c r="N403" t="s">
        <v>17</v>
      </c>
    </row>
    <row r="404" spans="1:14" hidden="1" x14ac:dyDescent="0.2">
      <c r="A404" t="s">
        <v>21</v>
      </c>
      <c r="B404" t="s">
        <v>14</v>
      </c>
      <c r="C404" s="2">
        <v>40128</v>
      </c>
      <c r="D404">
        <v>694929</v>
      </c>
      <c r="E404">
        <v>6209746</v>
      </c>
      <c r="F404">
        <v>1</v>
      </c>
      <c r="G404">
        <v>2</v>
      </c>
      <c r="H404">
        <v>2</v>
      </c>
      <c r="I404">
        <v>5</v>
      </c>
      <c r="J404" t="str">
        <f>_xlfn.TEXTJOIN("-",,H404,I404)</f>
        <v>2-5</v>
      </c>
      <c r="K404" t="s">
        <v>22</v>
      </c>
      <c r="L404" t="s">
        <v>16</v>
      </c>
      <c r="M404" s="3">
        <v>4.8</v>
      </c>
      <c r="N404" t="s">
        <v>23</v>
      </c>
    </row>
    <row r="405" spans="1:14" hidden="1" x14ac:dyDescent="0.2">
      <c r="A405" t="s">
        <v>13</v>
      </c>
      <c r="B405" t="s">
        <v>14</v>
      </c>
      <c r="C405" s="2">
        <v>40128</v>
      </c>
      <c r="D405">
        <v>695956</v>
      </c>
      <c r="E405">
        <v>6208568</v>
      </c>
      <c r="F405">
        <v>1</v>
      </c>
      <c r="G405">
        <v>6</v>
      </c>
      <c r="H405">
        <v>30</v>
      </c>
      <c r="I405">
        <v>48</v>
      </c>
      <c r="J405" t="str">
        <f>_xlfn.TEXTJOIN("-",,H405,I405)</f>
        <v>30-48</v>
      </c>
      <c r="K405" t="s">
        <v>25</v>
      </c>
      <c r="L405" t="s">
        <v>16</v>
      </c>
      <c r="M405" s="3">
        <v>6.5</v>
      </c>
      <c r="N405" t="s">
        <v>26</v>
      </c>
    </row>
    <row r="406" spans="1:14" hidden="1" x14ac:dyDescent="0.2">
      <c r="A406" t="s">
        <v>21</v>
      </c>
      <c r="B406" t="s">
        <v>14</v>
      </c>
      <c r="C406" s="2">
        <v>35745</v>
      </c>
      <c r="D406">
        <v>694929</v>
      </c>
      <c r="E406">
        <v>6209746</v>
      </c>
      <c r="F406">
        <v>1</v>
      </c>
      <c r="G406">
        <v>3</v>
      </c>
      <c r="H406">
        <v>5</v>
      </c>
      <c r="I406">
        <v>10</v>
      </c>
      <c r="J406" t="str">
        <f>_xlfn.TEXTJOIN("-",,H406,I406)</f>
        <v>5-10</v>
      </c>
      <c r="K406" t="s">
        <v>24</v>
      </c>
      <c r="L406" t="s">
        <v>16</v>
      </c>
      <c r="M406" s="3">
        <v>17.620000836905099</v>
      </c>
      <c r="N406" t="s">
        <v>17</v>
      </c>
    </row>
    <row r="407" spans="1:14" hidden="1" x14ac:dyDescent="0.2">
      <c r="A407" t="s">
        <v>18</v>
      </c>
      <c r="B407" t="s">
        <v>19</v>
      </c>
      <c r="C407" s="2">
        <v>40128</v>
      </c>
      <c r="D407">
        <v>692735</v>
      </c>
      <c r="E407">
        <v>6209960</v>
      </c>
      <c r="F407">
        <v>1</v>
      </c>
      <c r="G407">
        <v>3</v>
      </c>
      <c r="H407">
        <v>5</v>
      </c>
      <c r="I407">
        <v>10</v>
      </c>
      <c r="J407" t="str">
        <f>_xlfn.TEXTJOIN("-",,H407,I407)</f>
        <v>5-10</v>
      </c>
      <c r="K407" t="s">
        <v>15</v>
      </c>
      <c r="L407" t="s">
        <v>16</v>
      </c>
      <c r="M407" s="3">
        <v>9.7400004626251793</v>
      </c>
      <c r="N407" t="s">
        <v>17</v>
      </c>
    </row>
    <row r="408" spans="1:14" hidden="1" x14ac:dyDescent="0.2">
      <c r="A408" t="s">
        <v>13</v>
      </c>
      <c r="B408" t="s">
        <v>14</v>
      </c>
      <c r="C408" s="2">
        <v>40128</v>
      </c>
      <c r="D408">
        <v>695956</v>
      </c>
      <c r="E408">
        <v>6208568</v>
      </c>
      <c r="F408">
        <v>1</v>
      </c>
      <c r="G408">
        <v>6</v>
      </c>
      <c r="H408">
        <v>30</v>
      </c>
      <c r="I408">
        <v>48</v>
      </c>
      <c r="J408" t="str">
        <f>_xlfn.TEXTJOIN("-",,H408,I408)</f>
        <v>30-48</v>
      </c>
      <c r="K408" t="s">
        <v>22</v>
      </c>
      <c r="L408" t="s">
        <v>16</v>
      </c>
      <c r="M408" s="3">
        <v>44.5</v>
      </c>
      <c r="N408" t="s">
        <v>23</v>
      </c>
    </row>
    <row r="409" spans="1:14" hidden="1" x14ac:dyDescent="0.2">
      <c r="A409" t="s">
        <v>21</v>
      </c>
      <c r="B409" t="s">
        <v>14</v>
      </c>
      <c r="C409" s="2">
        <v>40128</v>
      </c>
      <c r="D409">
        <v>694929</v>
      </c>
      <c r="E409">
        <v>6209746</v>
      </c>
      <c r="F409">
        <v>1</v>
      </c>
      <c r="G409">
        <v>2</v>
      </c>
      <c r="H409">
        <v>2</v>
      </c>
      <c r="I409">
        <v>5</v>
      </c>
      <c r="J409" t="str">
        <f>_xlfn.TEXTJOIN("-",,H409,I409)</f>
        <v>2-5</v>
      </c>
      <c r="K409" t="s">
        <v>25</v>
      </c>
      <c r="L409" t="s">
        <v>16</v>
      </c>
      <c r="M409" s="3">
        <v>33.9</v>
      </c>
      <c r="N409" t="s">
        <v>26</v>
      </c>
    </row>
    <row r="410" spans="1:14" hidden="1" x14ac:dyDescent="0.2">
      <c r="A410" t="s">
        <v>18</v>
      </c>
      <c r="B410" t="s">
        <v>19</v>
      </c>
      <c r="C410" s="2">
        <v>40128</v>
      </c>
      <c r="D410">
        <v>692735</v>
      </c>
      <c r="E410">
        <v>6209960</v>
      </c>
      <c r="F410">
        <v>1</v>
      </c>
      <c r="G410">
        <v>4</v>
      </c>
      <c r="H410">
        <v>10</v>
      </c>
      <c r="I410">
        <v>20</v>
      </c>
      <c r="J410" t="str">
        <f>_xlfn.TEXTJOIN("-",,H410,I410)</f>
        <v>10-20</v>
      </c>
      <c r="K410" t="s">
        <v>15</v>
      </c>
      <c r="L410" t="s">
        <v>16</v>
      </c>
      <c r="M410" s="3">
        <v>9.0100004279520398</v>
      </c>
      <c r="N410" t="s">
        <v>17</v>
      </c>
    </row>
    <row r="411" spans="1:14" hidden="1" x14ac:dyDescent="0.2">
      <c r="A411" t="s">
        <v>21</v>
      </c>
      <c r="B411" t="s">
        <v>14</v>
      </c>
      <c r="C411" s="2">
        <v>40128</v>
      </c>
      <c r="D411">
        <v>694929</v>
      </c>
      <c r="E411">
        <v>6209746</v>
      </c>
      <c r="F411">
        <v>1</v>
      </c>
      <c r="G411">
        <v>6</v>
      </c>
      <c r="H411">
        <v>30</v>
      </c>
      <c r="I411">
        <v>39</v>
      </c>
      <c r="J411" t="str">
        <f>_xlfn.TEXTJOIN("-",,H411,I411)</f>
        <v>30-39</v>
      </c>
      <c r="K411" t="s">
        <v>27</v>
      </c>
      <c r="L411" t="s">
        <v>16</v>
      </c>
      <c r="M411" s="3">
        <v>0.50400002393871601</v>
      </c>
      <c r="N411" t="s">
        <v>17</v>
      </c>
    </row>
    <row r="412" spans="1:14" hidden="1" x14ac:dyDescent="0.2">
      <c r="A412" t="s">
        <v>21</v>
      </c>
      <c r="B412" t="s">
        <v>14</v>
      </c>
      <c r="C412" s="2">
        <v>40128</v>
      </c>
      <c r="D412">
        <v>694929</v>
      </c>
      <c r="E412">
        <v>6209746</v>
      </c>
      <c r="F412">
        <v>1</v>
      </c>
      <c r="G412">
        <v>4</v>
      </c>
      <c r="H412">
        <v>10</v>
      </c>
      <c r="I412">
        <v>20</v>
      </c>
      <c r="J412" t="str">
        <f>_xlfn.TEXTJOIN("-",,H412,I412)</f>
        <v>10-20</v>
      </c>
      <c r="K412" t="s">
        <v>27</v>
      </c>
      <c r="L412" t="s">
        <v>16</v>
      </c>
      <c r="M412" s="3">
        <v>0.81800003885291495</v>
      </c>
      <c r="N412" t="s">
        <v>17</v>
      </c>
    </row>
    <row r="413" spans="1:14" hidden="1" x14ac:dyDescent="0.2">
      <c r="A413" t="s">
        <v>21</v>
      </c>
      <c r="B413" t="s">
        <v>14</v>
      </c>
      <c r="C413" s="2">
        <v>40128</v>
      </c>
      <c r="D413">
        <v>694929</v>
      </c>
      <c r="E413">
        <v>6209746</v>
      </c>
      <c r="F413">
        <v>1</v>
      </c>
      <c r="G413">
        <v>3</v>
      </c>
      <c r="H413">
        <v>5</v>
      </c>
      <c r="I413">
        <v>10</v>
      </c>
      <c r="J413" t="str">
        <f>_xlfn.TEXTJOIN("-",,H413,I413)</f>
        <v>5-10</v>
      </c>
      <c r="K413" t="s">
        <v>22</v>
      </c>
      <c r="L413" t="s">
        <v>16</v>
      </c>
      <c r="M413" s="3">
        <v>6.14</v>
      </c>
      <c r="N413" t="s">
        <v>23</v>
      </c>
    </row>
    <row r="414" spans="1:14" hidden="1" x14ac:dyDescent="0.2">
      <c r="A414" t="s">
        <v>18</v>
      </c>
      <c r="B414" t="s">
        <v>19</v>
      </c>
      <c r="C414" s="2">
        <v>40128</v>
      </c>
      <c r="D414">
        <v>692735</v>
      </c>
      <c r="E414">
        <v>6209960</v>
      </c>
      <c r="F414">
        <v>1</v>
      </c>
      <c r="G414">
        <v>5</v>
      </c>
      <c r="H414">
        <v>20</v>
      </c>
      <c r="I414">
        <v>30</v>
      </c>
      <c r="J414" t="str">
        <f>_xlfn.TEXTJOIN("-",,H414,I414)</f>
        <v>20-30</v>
      </c>
      <c r="K414" t="s">
        <v>27</v>
      </c>
      <c r="L414" t="s">
        <v>16</v>
      </c>
      <c r="M414" s="3">
        <v>0.80300003814045395</v>
      </c>
      <c r="N414" t="s">
        <v>17</v>
      </c>
    </row>
    <row r="415" spans="1:14" hidden="1" x14ac:dyDescent="0.2">
      <c r="A415" t="s">
        <v>13</v>
      </c>
      <c r="B415" t="s">
        <v>14</v>
      </c>
      <c r="C415" s="2">
        <v>40128</v>
      </c>
      <c r="D415">
        <v>695956</v>
      </c>
      <c r="E415">
        <v>6208568</v>
      </c>
      <c r="F415">
        <v>1</v>
      </c>
      <c r="G415">
        <v>2</v>
      </c>
      <c r="H415">
        <v>2</v>
      </c>
      <c r="I415">
        <v>5</v>
      </c>
      <c r="J415" t="str">
        <f>_xlfn.TEXTJOIN("-",,H415,I415)</f>
        <v>2-5</v>
      </c>
      <c r="K415" t="s">
        <v>25</v>
      </c>
      <c r="L415" t="s">
        <v>16</v>
      </c>
      <c r="M415" s="3">
        <v>28.2</v>
      </c>
      <c r="N415" t="s">
        <v>26</v>
      </c>
    </row>
    <row r="416" spans="1:14" hidden="1" x14ac:dyDescent="0.2">
      <c r="A416" t="s">
        <v>18</v>
      </c>
      <c r="B416" t="s">
        <v>19</v>
      </c>
      <c r="C416" s="2">
        <v>35745</v>
      </c>
      <c r="D416">
        <v>692735</v>
      </c>
      <c r="E416">
        <v>6209960</v>
      </c>
      <c r="F416">
        <v>1</v>
      </c>
      <c r="G416">
        <v>3</v>
      </c>
      <c r="H416">
        <v>5</v>
      </c>
      <c r="I416">
        <v>10</v>
      </c>
      <c r="J416" t="str">
        <f>_xlfn.TEXTJOIN("-",,H416,I416)</f>
        <v>5-10</v>
      </c>
      <c r="K416" t="s">
        <v>24</v>
      </c>
      <c r="L416" t="s">
        <v>16</v>
      </c>
      <c r="M416" s="3">
        <v>24.140001146588499</v>
      </c>
      <c r="N416" t="s">
        <v>17</v>
      </c>
    </row>
    <row r="417" spans="1:14" hidden="1" x14ac:dyDescent="0.2">
      <c r="A417" t="s">
        <v>21</v>
      </c>
      <c r="B417" t="s">
        <v>14</v>
      </c>
      <c r="C417" s="2">
        <v>40128</v>
      </c>
      <c r="D417">
        <v>694929</v>
      </c>
      <c r="E417">
        <v>6209746</v>
      </c>
      <c r="F417">
        <v>1</v>
      </c>
      <c r="G417">
        <v>1</v>
      </c>
      <c r="H417">
        <v>0</v>
      </c>
      <c r="I417">
        <v>2</v>
      </c>
      <c r="J417" t="str">
        <f>_xlfn.TEXTJOIN("-",,H417,I417)</f>
        <v>0-2</v>
      </c>
      <c r="K417" t="s">
        <v>15</v>
      </c>
      <c r="L417" t="s">
        <v>16</v>
      </c>
      <c r="M417" s="3">
        <v>8.7300004146527499</v>
      </c>
      <c r="N417" t="s">
        <v>17</v>
      </c>
    </row>
    <row r="418" spans="1:14" hidden="1" x14ac:dyDescent="0.2">
      <c r="A418" t="s">
        <v>13</v>
      </c>
      <c r="B418" t="s">
        <v>14</v>
      </c>
      <c r="C418" s="2">
        <v>40128</v>
      </c>
      <c r="D418">
        <v>695956</v>
      </c>
      <c r="E418">
        <v>6208568</v>
      </c>
      <c r="F418">
        <v>1</v>
      </c>
      <c r="G418">
        <v>4</v>
      </c>
      <c r="H418">
        <v>10</v>
      </c>
      <c r="I418">
        <v>20</v>
      </c>
      <c r="J418" t="str">
        <f>_xlfn.TEXTJOIN("-",,H418,I418)</f>
        <v>10-20</v>
      </c>
      <c r="K418" t="s">
        <v>27</v>
      </c>
      <c r="L418" t="s">
        <v>16</v>
      </c>
      <c r="M418" s="3">
        <v>0.55500002636108603</v>
      </c>
      <c r="N418" t="s">
        <v>17</v>
      </c>
    </row>
    <row r="419" spans="1:14" hidden="1" x14ac:dyDescent="0.2">
      <c r="A419" t="s">
        <v>18</v>
      </c>
      <c r="B419" t="s">
        <v>19</v>
      </c>
      <c r="C419" s="2">
        <v>40128</v>
      </c>
      <c r="D419">
        <v>692735</v>
      </c>
      <c r="E419">
        <v>6209960</v>
      </c>
      <c r="F419">
        <v>1</v>
      </c>
      <c r="G419">
        <v>3</v>
      </c>
      <c r="H419">
        <v>5</v>
      </c>
      <c r="I419">
        <v>10</v>
      </c>
      <c r="J419" t="str">
        <f>_xlfn.TEXTJOIN("-",,H419,I419)</f>
        <v>5-10</v>
      </c>
      <c r="K419" t="s">
        <v>25</v>
      </c>
      <c r="L419" t="s">
        <v>16</v>
      </c>
      <c r="M419" s="3">
        <v>31.7</v>
      </c>
      <c r="N419" t="s">
        <v>26</v>
      </c>
    </row>
    <row r="420" spans="1:14" hidden="1" x14ac:dyDescent="0.2">
      <c r="A420" t="s">
        <v>13</v>
      </c>
      <c r="B420" t="s">
        <v>14</v>
      </c>
      <c r="C420" s="2">
        <v>40128</v>
      </c>
      <c r="D420">
        <v>695956</v>
      </c>
      <c r="E420">
        <v>6208568</v>
      </c>
      <c r="F420">
        <v>1</v>
      </c>
      <c r="G420">
        <v>2</v>
      </c>
      <c r="H420">
        <v>2</v>
      </c>
      <c r="I420">
        <v>5</v>
      </c>
      <c r="J420" t="str">
        <f>_xlfn.TEXTJOIN("-",,H420,I420)</f>
        <v>2-5</v>
      </c>
      <c r="K420" t="s">
        <v>22</v>
      </c>
      <c r="L420" t="s">
        <v>16</v>
      </c>
      <c r="M420" s="3">
        <v>6.49</v>
      </c>
      <c r="N420" t="s">
        <v>23</v>
      </c>
    </row>
    <row r="421" spans="1:14" hidden="1" x14ac:dyDescent="0.2">
      <c r="A421" t="s">
        <v>21</v>
      </c>
      <c r="B421" t="s">
        <v>14</v>
      </c>
      <c r="C421" s="2">
        <v>40128</v>
      </c>
      <c r="D421">
        <v>694929</v>
      </c>
      <c r="E421">
        <v>6209746</v>
      </c>
      <c r="F421">
        <v>1</v>
      </c>
      <c r="G421">
        <v>4</v>
      </c>
      <c r="H421">
        <v>10</v>
      </c>
      <c r="I421">
        <v>20</v>
      </c>
      <c r="J421" t="str">
        <f>_xlfn.TEXTJOIN("-",,H421,I421)</f>
        <v>10-20</v>
      </c>
      <c r="K421" t="s">
        <v>25</v>
      </c>
      <c r="L421" t="s">
        <v>16</v>
      </c>
      <c r="M421" s="3">
        <v>24</v>
      </c>
      <c r="N421" t="s">
        <v>26</v>
      </c>
    </row>
    <row r="422" spans="1:14" hidden="1" x14ac:dyDescent="0.2">
      <c r="A422" t="s">
        <v>18</v>
      </c>
      <c r="B422" t="s">
        <v>19</v>
      </c>
      <c r="C422" s="2">
        <v>40128</v>
      </c>
      <c r="D422">
        <v>692735</v>
      </c>
      <c r="E422">
        <v>6209960</v>
      </c>
      <c r="F422">
        <v>1</v>
      </c>
      <c r="G422">
        <v>2</v>
      </c>
      <c r="H422">
        <v>2</v>
      </c>
      <c r="I422">
        <v>5</v>
      </c>
      <c r="J422" t="str">
        <f>_xlfn.TEXTJOIN("-",,H422,I422)</f>
        <v>2-5</v>
      </c>
      <c r="K422" t="s">
        <v>25</v>
      </c>
      <c r="L422" t="s">
        <v>16</v>
      </c>
      <c r="M422" s="3">
        <v>31.8</v>
      </c>
      <c r="N422" t="s">
        <v>26</v>
      </c>
    </row>
    <row r="423" spans="1:14" hidden="1" x14ac:dyDescent="0.2">
      <c r="A423" t="s">
        <v>18</v>
      </c>
      <c r="B423" t="s">
        <v>19</v>
      </c>
      <c r="C423" s="2">
        <v>40128</v>
      </c>
      <c r="D423">
        <v>692735</v>
      </c>
      <c r="E423">
        <v>6209960</v>
      </c>
      <c r="F423">
        <v>1</v>
      </c>
      <c r="G423">
        <v>2</v>
      </c>
      <c r="H423">
        <v>2</v>
      </c>
      <c r="I423">
        <v>5</v>
      </c>
      <c r="J423" t="str">
        <f>_xlfn.TEXTJOIN("-",,H423,I423)</f>
        <v>2-5</v>
      </c>
      <c r="K423" t="s">
        <v>15</v>
      </c>
      <c r="L423" t="s">
        <v>16</v>
      </c>
      <c r="M423" s="3">
        <v>7.9600003780797097</v>
      </c>
      <c r="N423" t="s">
        <v>17</v>
      </c>
    </row>
    <row r="424" spans="1:14" hidden="1" x14ac:dyDescent="0.2">
      <c r="A424" t="s">
        <v>21</v>
      </c>
      <c r="B424" t="s">
        <v>14</v>
      </c>
      <c r="C424" s="2">
        <v>40128</v>
      </c>
      <c r="D424">
        <v>694929</v>
      </c>
      <c r="E424">
        <v>6209746</v>
      </c>
      <c r="F424">
        <v>1</v>
      </c>
      <c r="G424">
        <v>3</v>
      </c>
      <c r="H424">
        <v>5</v>
      </c>
      <c r="I424">
        <v>10</v>
      </c>
      <c r="J424" t="str">
        <f>_xlfn.TEXTJOIN("-",,H424,I424)</f>
        <v>5-10</v>
      </c>
      <c r="K424" t="s">
        <v>25</v>
      </c>
      <c r="L424" t="s">
        <v>16</v>
      </c>
      <c r="M424" s="3">
        <v>32</v>
      </c>
      <c r="N424" t="s">
        <v>26</v>
      </c>
    </row>
    <row r="425" spans="1:14" hidden="1" x14ac:dyDescent="0.2">
      <c r="A425" t="s">
        <v>18</v>
      </c>
      <c r="B425" t="s">
        <v>19</v>
      </c>
      <c r="C425" s="2">
        <v>40128</v>
      </c>
      <c r="D425">
        <v>692735</v>
      </c>
      <c r="E425">
        <v>6209960</v>
      </c>
      <c r="F425">
        <v>1</v>
      </c>
      <c r="G425">
        <v>1</v>
      </c>
      <c r="H425">
        <v>0</v>
      </c>
      <c r="I425">
        <v>2</v>
      </c>
      <c r="J425" t="str">
        <f>_xlfn.TEXTJOIN("-",,H425,I425)</f>
        <v>0-2</v>
      </c>
      <c r="K425" t="s">
        <v>25</v>
      </c>
      <c r="L425" t="s">
        <v>16</v>
      </c>
      <c r="M425" s="3">
        <v>35.6</v>
      </c>
      <c r="N425" t="s">
        <v>26</v>
      </c>
    </row>
    <row r="426" spans="1:14" hidden="1" x14ac:dyDescent="0.2">
      <c r="A426" t="s">
        <v>13</v>
      </c>
      <c r="B426" t="s">
        <v>14</v>
      </c>
      <c r="C426" s="2">
        <v>35745</v>
      </c>
      <c r="D426">
        <v>695956</v>
      </c>
      <c r="E426">
        <v>6208568</v>
      </c>
      <c r="F426">
        <v>1</v>
      </c>
      <c r="G426">
        <v>3</v>
      </c>
      <c r="H426">
        <v>5</v>
      </c>
      <c r="I426">
        <v>10</v>
      </c>
      <c r="J426" t="str">
        <f>_xlfn.TEXTJOIN("-",,H426,I426)</f>
        <v>5-10</v>
      </c>
      <c r="K426" t="s">
        <v>24</v>
      </c>
      <c r="L426" t="s">
        <v>16</v>
      </c>
      <c r="M426" s="3">
        <v>27.630001312354601</v>
      </c>
      <c r="N426" t="s">
        <v>17</v>
      </c>
    </row>
    <row r="427" spans="1:14" hidden="1" x14ac:dyDescent="0.2">
      <c r="A427" t="s">
        <v>18</v>
      </c>
      <c r="B427" t="s">
        <v>19</v>
      </c>
      <c r="C427" s="2">
        <v>40128</v>
      </c>
      <c r="D427">
        <v>692735</v>
      </c>
      <c r="E427">
        <v>6209960</v>
      </c>
      <c r="F427">
        <v>1</v>
      </c>
      <c r="G427">
        <v>5</v>
      </c>
      <c r="H427">
        <v>20</v>
      </c>
      <c r="I427">
        <v>30</v>
      </c>
      <c r="J427" t="str">
        <f>_xlfn.TEXTJOIN("-",,H427,I427)</f>
        <v>20-30</v>
      </c>
      <c r="K427" t="s">
        <v>15</v>
      </c>
      <c r="L427" t="s">
        <v>16</v>
      </c>
      <c r="M427" s="3">
        <v>8.9200004236772603</v>
      </c>
      <c r="N427" t="s">
        <v>17</v>
      </c>
    </row>
    <row r="428" spans="1:14" hidden="1" x14ac:dyDescent="0.2">
      <c r="A428" t="s">
        <v>18</v>
      </c>
      <c r="B428" t="s">
        <v>19</v>
      </c>
      <c r="C428" s="2">
        <v>37565</v>
      </c>
      <c r="D428">
        <v>692735</v>
      </c>
      <c r="E428">
        <v>6209960</v>
      </c>
      <c r="F428">
        <v>1</v>
      </c>
      <c r="G428">
        <v>3</v>
      </c>
      <c r="H428">
        <v>5</v>
      </c>
      <c r="I428">
        <v>10</v>
      </c>
      <c r="J428" t="str">
        <f>_xlfn.TEXTJOIN("-",,H428,I428)</f>
        <v>5-10</v>
      </c>
      <c r="K428" t="s">
        <v>24</v>
      </c>
      <c r="L428" t="s">
        <v>16</v>
      </c>
      <c r="M428" s="3">
        <v>9.7500004631001502</v>
      </c>
      <c r="N428" t="s">
        <v>17</v>
      </c>
    </row>
    <row r="429" spans="1:14" hidden="1" x14ac:dyDescent="0.2">
      <c r="A429" t="s">
        <v>18</v>
      </c>
      <c r="B429" t="s">
        <v>19</v>
      </c>
      <c r="C429" s="2">
        <v>40128</v>
      </c>
      <c r="D429">
        <v>692735</v>
      </c>
      <c r="E429">
        <v>6209960</v>
      </c>
      <c r="F429">
        <v>1</v>
      </c>
      <c r="G429">
        <v>6</v>
      </c>
      <c r="H429">
        <v>30</v>
      </c>
      <c r="I429">
        <v>45</v>
      </c>
      <c r="J429" t="str">
        <f>_xlfn.TEXTJOIN("-",,H429,I429)</f>
        <v>30-45</v>
      </c>
      <c r="K429" t="s">
        <v>15</v>
      </c>
      <c r="L429" t="s">
        <v>16</v>
      </c>
      <c r="M429" s="3">
        <v>11.6000005509704</v>
      </c>
      <c r="N429" t="s">
        <v>17</v>
      </c>
    </row>
    <row r="430" spans="1:14" hidden="1" x14ac:dyDescent="0.2">
      <c r="A430" t="s">
        <v>21</v>
      </c>
      <c r="B430" t="s">
        <v>14</v>
      </c>
      <c r="C430" s="2">
        <v>37565</v>
      </c>
      <c r="D430">
        <v>694929</v>
      </c>
      <c r="E430">
        <v>6209746</v>
      </c>
      <c r="F430">
        <v>1</v>
      </c>
      <c r="G430">
        <v>3</v>
      </c>
      <c r="H430">
        <v>5</v>
      </c>
      <c r="I430">
        <v>10</v>
      </c>
      <c r="J430" t="str">
        <f>_xlfn.TEXTJOIN("-",,H430,I430)</f>
        <v>5-10</v>
      </c>
      <c r="K430" t="s">
        <v>24</v>
      </c>
      <c r="L430" t="s">
        <v>16</v>
      </c>
      <c r="M430" s="3">
        <v>12.5000005937181</v>
      </c>
      <c r="N430" t="s">
        <v>17</v>
      </c>
    </row>
    <row r="431" spans="1:14" hidden="1" x14ac:dyDescent="0.2">
      <c r="A431" t="s">
        <v>21</v>
      </c>
      <c r="B431" t="s">
        <v>14</v>
      </c>
      <c r="C431" s="2">
        <v>40128</v>
      </c>
      <c r="D431">
        <v>694929</v>
      </c>
      <c r="E431">
        <v>6209746</v>
      </c>
      <c r="F431">
        <v>1</v>
      </c>
      <c r="G431">
        <v>1</v>
      </c>
      <c r="H431">
        <v>0</v>
      </c>
      <c r="I431">
        <v>2</v>
      </c>
      <c r="J431" t="str">
        <f>_xlfn.TEXTJOIN("-",,H431,I431)</f>
        <v>0-2</v>
      </c>
      <c r="K431" t="s">
        <v>22</v>
      </c>
      <c r="L431" t="s">
        <v>16</v>
      </c>
      <c r="M431" s="3">
        <v>2.78</v>
      </c>
      <c r="N431" t="s">
        <v>23</v>
      </c>
    </row>
    <row r="432" spans="1:14" hidden="1" x14ac:dyDescent="0.2">
      <c r="A432" t="s">
        <v>21</v>
      </c>
      <c r="B432" t="s">
        <v>14</v>
      </c>
      <c r="C432" s="2">
        <v>40128</v>
      </c>
      <c r="D432">
        <v>694929</v>
      </c>
      <c r="E432">
        <v>6209746</v>
      </c>
      <c r="F432">
        <v>1</v>
      </c>
      <c r="G432">
        <v>5</v>
      </c>
      <c r="H432">
        <v>20</v>
      </c>
      <c r="I432">
        <v>30</v>
      </c>
      <c r="J432" t="str">
        <f>_xlfn.TEXTJOIN("-",,H432,I432)</f>
        <v>20-30</v>
      </c>
      <c r="K432" t="s">
        <v>22</v>
      </c>
      <c r="L432" t="s">
        <v>16</v>
      </c>
      <c r="M432" s="3">
        <v>12.8</v>
      </c>
      <c r="N432" t="s">
        <v>23</v>
      </c>
    </row>
    <row r="433" spans="1:14" hidden="1" x14ac:dyDescent="0.2">
      <c r="A433" t="s">
        <v>13</v>
      </c>
      <c r="B433" t="s">
        <v>14</v>
      </c>
      <c r="C433" s="2">
        <v>40128</v>
      </c>
      <c r="D433">
        <v>695956</v>
      </c>
      <c r="E433">
        <v>6208568</v>
      </c>
      <c r="F433">
        <v>1</v>
      </c>
      <c r="G433">
        <v>4</v>
      </c>
      <c r="H433">
        <v>10</v>
      </c>
      <c r="I433">
        <v>20</v>
      </c>
      <c r="J433" t="str">
        <f>_xlfn.TEXTJOIN("-",,H433,I433)</f>
        <v>10-20</v>
      </c>
      <c r="K433" t="s">
        <v>22</v>
      </c>
      <c r="L433" t="s">
        <v>16</v>
      </c>
      <c r="M433" s="3">
        <v>14.6</v>
      </c>
      <c r="N433" t="s">
        <v>23</v>
      </c>
    </row>
    <row r="434" spans="1:14" hidden="1" x14ac:dyDescent="0.2">
      <c r="A434" t="s">
        <v>18</v>
      </c>
      <c r="B434" t="s">
        <v>19</v>
      </c>
      <c r="C434" s="2">
        <v>40128</v>
      </c>
      <c r="D434">
        <v>692735</v>
      </c>
      <c r="E434">
        <v>6209960</v>
      </c>
      <c r="F434">
        <v>1</v>
      </c>
      <c r="G434">
        <v>6</v>
      </c>
      <c r="H434">
        <v>30</v>
      </c>
      <c r="I434">
        <v>45</v>
      </c>
      <c r="J434" t="str">
        <f>_xlfn.TEXTJOIN("-",,H434,I434)</f>
        <v>30-45</v>
      </c>
      <c r="K434" t="s">
        <v>22</v>
      </c>
      <c r="L434" t="s">
        <v>16</v>
      </c>
      <c r="M434" s="3">
        <v>11.7</v>
      </c>
      <c r="N434" t="s">
        <v>23</v>
      </c>
    </row>
    <row r="435" spans="1:14" hidden="1" x14ac:dyDescent="0.2">
      <c r="A435" t="s">
        <v>21</v>
      </c>
      <c r="B435" t="s">
        <v>14</v>
      </c>
      <c r="C435" s="2">
        <v>40128</v>
      </c>
      <c r="D435">
        <v>694929</v>
      </c>
      <c r="E435">
        <v>6209746</v>
      </c>
      <c r="F435">
        <v>1</v>
      </c>
      <c r="G435">
        <v>2</v>
      </c>
      <c r="H435">
        <v>2</v>
      </c>
      <c r="I435">
        <v>5</v>
      </c>
      <c r="J435" t="str">
        <f>_xlfn.TEXTJOIN("-",,H435,I435)</f>
        <v>2-5</v>
      </c>
      <c r="K435" t="s">
        <v>15</v>
      </c>
      <c r="L435" t="s">
        <v>16</v>
      </c>
      <c r="M435" s="3">
        <v>8.5100004042033106</v>
      </c>
      <c r="N435" t="s">
        <v>17</v>
      </c>
    </row>
    <row r="436" spans="1:14" hidden="1" x14ac:dyDescent="0.2">
      <c r="A436" t="s">
        <v>21</v>
      </c>
      <c r="B436" t="s">
        <v>14</v>
      </c>
      <c r="C436" s="2">
        <v>40128</v>
      </c>
      <c r="D436">
        <v>694929</v>
      </c>
      <c r="E436">
        <v>6209746</v>
      </c>
      <c r="F436">
        <v>1</v>
      </c>
      <c r="G436">
        <v>5</v>
      </c>
      <c r="H436">
        <v>20</v>
      </c>
      <c r="I436">
        <v>30</v>
      </c>
      <c r="J436" t="str">
        <f>_xlfn.TEXTJOIN("-",,H436,I436)</f>
        <v>20-30</v>
      </c>
      <c r="K436" t="s">
        <v>27</v>
      </c>
      <c r="L436" t="s">
        <v>16</v>
      </c>
      <c r="M436" s="3">
        <v>0.52800002507865396</v>
      </c>
      <c r="N436" t="s">
        <v>17</v>
      </c>
    </row>
    <row r="437" spans="1:14" hidden="1" x14ac:dyDescent="0.2">
      <c r="A437" t="s">
        <v>21</v>
      </c>
      <c r="B437" t="s">
        <v>14</v>
      </c>
      <c r="C437" s="2">
        <v>40128</v>
      </c>
      <c r="D437">
        <v>694929</v>
      </c>
      <c r="E437">
        <v>6209746</v>
      </c>
      <c r="F437">
        <v>1</v>
      </c>
      <c r="G437">
        <v>5</v>
      </c>
      <c r="H437">
        <v>20</v>
      </c>
      <c r="I437">
        <v>30</v>
      </c>
      <c r="J437" t="str">
        <f>_xlfn.TEXTJOIN("-",,H437,I437)</f>
        <v>20-30</v>
      </c>
      <c r="K437" t="s">
        <v>15</v>
      </c>
      <c r="L437" t="s">
        <v>16</v>
      </c>
      <c r="M437" s="3">
        <v>12.4000005889684</v>
      </c>
      <c r="N437" t="s">
        <v>17</v>
      </c>
    </row>
    <row r="438" spans="1:14" hidden="1" x14ac:dyDescent="0.2">
      <c r="A438" t="s">
        <v>13</v>
      </c>
      <c r="B438" t="s">
        <v>14</v>
      </c>
      <c r="C438" s="2">
        <v>37565</v>
      </c>
      <c r="D438">
        <v>695956</v>
      </c>
      <c r="E438">
        <v>6208568</v>
      </c>
      <c r="F438">
        <v>1</v>
      </c>
      <c r="G438">
        <v>3</v>
      </c>
      <c r="H438">
        <v>5</v>
      </c>
      <c r="I438">
        <v>10</v>
      </c>
      <c r="J438" t="str">
        <f>_xlfn.TEXTJOIN("-",,H438,I438)</f>
        <v>5-10</v>
      </c>
      <c r="K438" t="s">
        <v>24</v>
      </c>
      <c r="L438" t="s">
        <v>16</v>
      </c>
      <c r="M438" s="3">
        <v>6.9900003320071802</v>
      </c>
      <c r="N438" t="s">
        <v>17</v>
      </c>
    </row>
    <row r="439" spans="1:14" x14ac:dyDescent="0.2">
      <c r="A439" t="s">
        <v>18</v>
      </c>
      <c r="B439" t="s">
        <v>19</v>
      </c>
      <c r="C439" s="2">
        <v>34330</v>
      </c>
      <c r="D439">
        <v>692735</v>
      </c>
      <c r="E439">
        <v>6209960</v>
      </c>
      <c r="F439">
        <v>2</v>
      </c>
      <c r="G439">
        <v>3</v>
      </c>
      <c r="H439">
        <v>5</v>
      </c>
      <c r="I439">
        <v>10</v>
      </c>
      <c r="J439" t="str">
        <f>_xlfn.TEXTJOIN("-",,H439,I439)</f>
        <v>5-10</v>
      </c>
      <c r="K439" t="s">
        <v>27</v>
      </c>
      <c r="L439" t="s">
        <v>16</v>
      </c>
      <c r="M439" s="3">
        <v>0.68500003253575403</v>
      </c>
      <c r="N439" t="s">
        <v>17</v>
      </c>
    </row>
    <row r="440" spans="1:14" hidden="1" x14ac:dyDescent="0.2">
      <c r="A440" t="s">
        <v>21</v>
      </c>
      <c r="B440" t="s">
        <v>14</v>
      </c>
      <c r="C440" s="2">
        <v>40128</v>
      </c>
      <c r="D440">
        <v>694929</v>
      </c>
      <c r="E440">
        <v>6209746</v>
      </c>
      <c r="F440">
        <v>1</v>
      </c>
      <c r="G440">
        <v>1</v>
      </c>
      <c r="H440">
        <v>0</v>
      </c>
      <c r="I440">
        <v>2</v>
      </c>
      <c r="J440" t="str">
        <f>_xlfn.TEXTJOIN("-",,H440,I440)</f>
        <v>0-2</v>
      </c>
      <c r="K440" t="s">
        <v>25</v>
      </c>
      <c r="L440" t="s">
        <v>16</v>
      </c>
      <c r="M440" s="3">
        <v>39.700000000000003</v>
      </c>
      <c r="N440" t="s">
        <v>26</v>
      </c>
    </row>
    <row r="441" spans="1:14" hidden="1" x14ac:dyDescent="0.2">
      <c r="A441" t="s">
        <v>13</v>
      </c>
      <c r="B441" t="s">
        <v>14</v>
      </c>
      <c r="C441" s="2">
        <v>40128</v>
      </c>
      <c r="D441">
        <v>695956</v>
      </c>
      <c r="E441">
        <v>6208568</v>
      </c>
      <c r="F441">
        <v>1</v>
      </c>
      <c r="G441">
        <v>3</v>
      </c>
      <c r="H441">
        <v>5</v>
      </c>
      <c r="I441">
        <v>10</v>
      </c>
      <c r="J441" t="str">
        <f>_xlfn.TEXTJOIN("-",,H441,I441)</f>
        <v>5-10</v>
      </c>
      <c r="K441" t="s">
        <v>15</v>
      </c>
      <c r="L441" t="s">
        <v>16</v>
      </c>
      <c r="M441" s="3">
        <v>6.9000003277324096</v>
      </c>
      <c r="N441" t="s">
        <v>17</v>
      </c>
    </row>
    <row r="442" spans="1:14" hidden="1" x14ac:dyDescent="0.2">
      <c r="A442" t="s">
        <v>18</v>
      </c>
      <c r="B442" t="s">
        <v>19</v>
      </c>
      <c r="C442" s="2">
        <v>40128</v>
      </c>
      <c r="D442">
        <v>692735</v>
      </c>
      <c r="E442">
        <v>6209960</v>
      </c>
      <c r="F442">
        <v>1</v>
      </c>
      <c r="G442">
        <v>1</v>
      </c>
      <c r="H442">
        <v>0</v>
      </c>
      <c r="I442">
        <v>2</v>
      </c>
      <c r="J442" t="str">
        <f>_xlfn.TEXTJOIN("-",,H442,I442)</f>
        <v>0-2</v>
      </c>
      <c r="K442" t="s">
        <v>22</v>
      </c>
      <c r="L442" t="s">
        <v>16</v>
      </c>
      <c r="M442" s="3">
        <v>3.21</v>
      </c>
      <c r="N442" t="s">
        <v>23</v>
      </c>
    </row>
    <row r="443" spans="1:14" hidden="1" x14ac:dyDescent="0.2">
      <c r="A443" t="s">
        <v>18</v>
      </c>
      <c r="B443" t="s">
        <v>19</v>
      </c>
      <c r="C443" s="2">
        <v>40128</v>
      </c>
      <c r="D443">
        <v>692735</v>
      </c>
      <c r="E443">
        <v>6209960</v>
      </c>
      <c r="F443">
        <v>1</v>
      </c>
      <c r="G443">
        <v>6</v>
      </c>
      <c r="H443">
        <v>30</v>
      </c>
      <c r="I443">
        <v>45</v>
      </c>
      <c r="J443" t="str">
        <f>_xlfn.TEXTJOIN("-",,H443,I443)</f>
        <v>30-45</v>
      </c>
      <c r="K443" t="s">
        <v>27</v>
      </c>
      <c r="L443" t="s">
        <v>16</v>
      </c>
      <c r="M443" s="3">
        <v>0.56200002669356797</v>
      </c>
      <c r="N443" t="s">
        <v>17</v>
      </c>
    </row>
    <row r="444" spans="1:14" hidden="1" x14ac:dyDescent="0.2">
      <c r="A444" t="s">
        <v>13</v>
      </c>
      <c r="B444" t="s">
        <v>14</v>
      </c>
      <c r="C444" s="2">
        <v>40128</v>
      </c>
      <c r="D444">
        <v>695956</v>
      </c>
      <c r="E444">
        <v>6208568</v>
      </c>
      <c r="F444">
        <v>1</v>
      </c>
      <c r="G444">
        <v>5</v>
      </c>
      <c r="H444">
        <v>20</v>
      </c>
      <c r="I444">
        <v>30</v>
      </c>
      <c r="J444" t="str">
        <f>_xlfn.TEXTJOIN("-",,H444,I444)</f>
        <v>20-30</v>
      </c>
      <c r="K444" t="s">
        <v>15</v>
      </c>
      <c r="L444" t="s">
        <v>16</v>
      </c>
      <c r="M444" s="3">
        <v>7.29000034625642</v>
      </c>
      <c r="N444" t="s">
        <v>17</v>
      </c>
    </row>
    <row r="445" spans="1:14" hidden="1" x14ac:dyDescent="0.2">
      <c r="A445" t="s">
        <v>13</v>
      </c>
      <c r="B445" t="s">
        <v>14</v>
      </c>
      <c r="C445" s="2">
        <v>40128</v>
      </c>
      <c r="D445">
        <v>695956</v>
      </c>
      <c r="E445">
        <v>6208568</v>
      </c>
      <c r="F445">
        <v>1</v>
      </c>
      <c r="G445">
        <v>6</v>
      </c>
      <c r="H445">
        <v>30</v>
      </c>
      <c r="I445">
        <v>48</v>
      </c>
      <c r="J445" t="str">
        <f>_xlfn.TEXTJOIN("-",,H445,I445)</f>
        <v>30-48</v>
      </c>
      <c r="K445" t="s">
        <v>15</v>
      </c>
      <c r="L445" t="s">
        <v>16</v>
      </c>
      <c r="M445" s="3">
        <v>4.7000002232380202</v>
      </c>
      <c r="N445" t="s">
        <v>17</v>
      </c>
    </row>
    <row r="446" spans="1:14" hidden="1" x14ac:dyDescent="0.2">
      <c r="A446" t="s">
        <v>18</v>
      </c>
      <c r="B446" t="s">
        <v>19</v>
      </c>
      <c r="C446" s="2">
        <v>40128</v>
      </c>
      <c r="D446">
        <v>692735</v>
      </c>
      <c r="E446">
        <v>6209960</v>
      </c>
      <c r="F446">
        <v>1</v>
      </c>
      <c r="G446">
        <v>5</v>
      </c>
      <c r="H446">
        <v>20</v>
      </c>
      <c r="I446">
        <v>30</v>
      </c>
      <c r="J446" t="str">
        <f>_xlfn.TEXTJOIN("-",,H446,I446)</f>
        <v>20-30</v>
      </c>
      <c r="K446" t="s">
        <v>25</v>
      </c>
      <c r="L446" t="s">
        <v>16</v>
      </c>
      <c r="M446" s="3">
        <v>22.8</v>
      </c>
      <c r="N446" t="s">
        <v>26</v>
      </c>
    </row>
    <row r="447" spans="1:14" hidden="1" x14ac:dyDescent="0.2">
      <c r="A447" t="s">
        <v>21</v>
      </c>
      <c r="B447" t="s">
        <v>14</v>
      </c>
      <c r="C447" s="2">
        <v>40128</v>
      </c>
      <c r="D447">
        <v>694929</v>
      </c>
      <c r="E447">
        <v>6209746</v>
      </c>
      <c r="F447">
        <v>1</v>
      </c>
      <c r="G447">
        <v>6</v>
      </c>
      <c r="H447">
        <v>30</v>
      </c>
      <c r="I447">
        <v>39</v>
      </c>
      <c r="J447" t="str">
        <f>_xlfn.TEXTJOIN("-",,H447,I447)</f>
        <v>30-39</v>
      </c>
      <c r="K447" t="s">
        <v>25</v>
      </c>
      <c r="L447" t="s">
        <v>16</v>
      </c>
      <c r="M447" s="3">
        <v>24.6</v>
      </c>
      <c r="N447" t="s">
        <v>26</v>
      </c>
    </row>
    <row r="448" spans="1:14" hidden="1" x14ac:dyDescent="0.2">
      <c r="A448" t="s">
        <v>18</v>
      </c>
      <c r="B448" t="s">
        <v>19</v>
      </c>
      <c r="C448" s="2">
        <v>40128</v>
      </c>
      <c r="D448">
        <v>692735</v>
      </c>
      <c r="E448">
        <v>6209960</v>
      </c>
      <c r="F448">
        <v>1</v>
      </c>
      <c r="G448">
        <v>2</v>
      </c>
      <c r="H448">
        <v>2</v>
      </c>
      <c r="I448">
        <v>5</v>
      </c>
      <c r="J448" t="str">
        <f>_xlfn.TEXTJOIN("-",,H448,I448)</f>
        <v>2-5</v>
      </c>
      <c r="K448" t="s">
        <v>22</v>
      </c>
      <c r="L448" t="s">
        <v>16</v>
      </c>
      <c r="M448" s="3">
        <v>5.49</v>
      </c>
      <c r="N448" t="s">
        <v>23</v>
      </c>
    </row>
    <row r="449" spans="1:14" hidden="1" x14ac:dyDescent="0.2">
      <c r="A449" t="s">
        <v>13</v>
      </c>
      <c r="B449" t="s">
        <v>14</v>
      </c>
      <c r="C449" s="2">
        <v>40128</v>
      </c>
      <c r="D449">
        <v>695956</v>
      </c>
      <c r="E449">
        <v>6208568</v>
      </c>
      <c r="F449">
        <v>1</v>
      </c>
      <c r="G449">
        <v>4</v>
      </c>
      <c r="H449">
        <v>10</v>
      </c>
      <c r="I449">
        <v>20</v>
      </c>
      <c r="J449" t="str">
        <f>_xlfn.TEXTJOIN("-",,H449,I449)</f>
        <v>10-20</v>
      </c>
      <c r="K449" t="s">
        <v>15</v>
      </c>
      <c r="L449" t="s">
        <v>16</v>
      </c>
      <c r="M449" s="3">
        <v>11.4000005414709</v>
      </c>
      <c r="N449" t="s">
        <v>17</v>
      </c>
    </row>
    <row r="450" spans="1:14" hidden="1" x14ac:dyDescent="0.2">
      <c r="A450" t="s">
        <v>13</v>
      </c>
      <c r="B450" t="s">
        <v>14</v>
      </c>
      <c r="C450" s="2">
        <v>40128</v>
      </c>
      <c r="D450">
        <v>695956</v>
      </c>
      <c r="E450">
        <v>6208568</v>
      </c>
      <c r="F450">
        <v>1</v>
      </c>
      <c r="G450">
        <v>2</v>
      </c>
      <c r="H450">
        <v>2</v>
      </c>
      <c r="I450">
        <v>5</v>
      </c>
      <c r="J450" t="str">
        <f>_xlfn.TEXTJOIN("-",,H450,I450)</f>
        <v>2-5</v>
      </c>
      <c r="K450" t="s">
        <v>15</v>
      </c>
      <c r="L450" t="s">
        <v>16</v>
      </c>
      <c r="M450" s="3">
        <v>9.4800004502758402</v>
      </c>
      <c r="N450" t="s">
        <v>17</v>
      </c>
    </row>
    <row r="451" spans="1:14" hidden="1" x14ac:dyDescent="0.2">
      <c r="A451" t="s">
        <v>18</v>
      </c>
      <c r="B451" t="s">
        <v>19</v>
      </c>
      <c r="C451" s="2">
        <v>40128</v>
      </c>
      <c r="D451">
        <v>692735</v>
      </c>
      <c r="E451">
        <v>6209960</v>
      </c>
      <c r="F451">
        <v>1</v>
      </c>
      <c r="G451">
        <v>4</v>
      </c>
      <c r="H451">
        <v>10</v>
      </c>
      <c r="I451">
        <v>20</v>
      </c>
      <c r="J451" t="str">
        <f>_xlfn.TEXTJOIN("-",,H451,I451)</f>
        <v>10-20</v>
      </c>
      <c r="K451" t="s">
        <v>27</v>
      </c>
      <c r="L451" t="s">
        <v>16</v>
      </c>
      <c r="M451" s="3">
        <v>1.1900000565219699</v>
      </c>
      <c r="N451" t="s">
        <v>17</v>
      </c>
    </row>
    <row r="452" spans="1:14" hidden="1" x14ac:dyDescent="0.2">
      <c r="A452" t="s">
        <v>18</v>
      </c>
      <c r="B452" t="s">
        <v>19</v>
      </c>
      <c r="C452" s="2">
        <v>40128</v>
      </c>
      <c r="D452">
        <v>692735</v>
      </c>
      <c r="E452">
        <v>6209960</v>
      </c>
      <c r="F452">
        <v>1</v>
      </c>
      <c r="G452">
        <v>5</v>
      </c>
      <c r="H452">
        <v>20</v>
      </c>
      <c r="I452">
        <v>30</v>
      </c>
      <c r="J452" t="str">
        <f>_xlfn.TEXTJOIN("-",,H452,I452)</f>
        <v>20-30</v>
      </c>
      <c r="K452" t="s">
        <v>22</v>
      </c>
      <c r="L452" t="s">
        <v>16</v>
      </c>
      <c r="M452" s="3">
        <v>20</v>
      </c>
      <c r="N452" t="s">
        <v>23</v>
      </c>
    </row>
    <row r="453" spans="1:14" hidden="1" x14ac:dyDescent="0.2">
      <c r="A453" t="s">
        <v>13</v>
      </c>
      <c r="B453" t="s">
        <v>14</v>
      </c>
      <c r="C453" s="2">
        <v>40128</v>
      </c>
      <c r="D453">
        <v>695956</v>
      </c>
      <c r="E453">
        <v>6208568</v>
      </c>
      <c r="F453">
        <v>1</v>
      </c>
      <c r="G453">
        <v>4</v>
      </c>
      <c r="H453">
        <v>10</v>
      </c>
      <c r="I453">
        <v>20</v>
      </c>
      <c r="J453" t="str">
        <f>_xlfn.TEXTJOIN("-",,H453,I453)</f>
        <v>10-20</v>
      </c>
      <c r="K453" t="s">
        <v>25</v>
      </c>
      <c r="L453" t="s">
        <v>16</v>
      </c>
      <c r="M453" s="3">
        <v>14.4</v>
      </c>
      <c r="N453" t="s">
        <v>26</v>
      </c>
    </row>
    <row r="454" spans="1:14" hidden="1" x14ac:dyDescent="0.2">
      <c r="A454" t="s">
        <v>13</v>
      </c>
      <c r="B454" t="s">
        <v>14</v>
      </c>
      <c r="C454" s="2">
        <v>40128</v>
      </c>
      <c r="D454">
        <v>695956</v>
      </c>
      <c r="E454">
        <v>6208568</v>
      </c>
      <c r="F454">
        <v>1</v>
      </c>
      <c r="G454">
        <v>1</v>
      </c>
      <c r="H454">
        <v>0</v>
      </c>
      <c r="I454">
        <v>2</v>
      </c>
      <c r="J454" t="str">
        <f>_xlfn.TEXTJOIN("-",,H454,I454)</f>
        <v>0-2</v>
      </c>
      <c r="K454" t="s">
        <v>22</v>
      </c>
      <c r="L454" t="s">
        <v>16</v>
      </c>
      <c r="M454" s="3">
        <v>3.06</v>
      </c>
      <c r="N454" t="s">
        <v>23</v>
      </c>
    </row>
    <row r="455" spans="1:14" hidden="1" x14ac:dyDescent="0.2">
      <c r="A455" t="s">
        <v>21</v>
      </c>
      <c r="B455" t="s">
        <v>14</v>
      </c>
      <c r="C455" s="2">
        <v>41954</v>
      </c>
      <c r="D455">
        <v>694929</v>
      </c>
      <c r="E455">
        <v>6209746</v>
      </c>
      <c r="F455">
        <v>1</v>
      </c>
      <c r="G455">
        <v>1</v>
      </c>
      <c r="H455">
        <v>0</v>
      </c>
      <c r="I455">
        <v>2</v>
      </c>
      <c r="J455" t="str">
        <f>_xlfn.TEXTJOIN("-",,H455,I455)</f>
        <v>0-2</v>
      </c>
      <c r="K455" t="s">
        <v>22</v>
      </c>
      <c r="L455" t="s">
        <v>16</v>
      </c>
      <c r="M455" s="3">
        <v>3</v>
      </c>
      <c r="N455" t="s">
        <v>23</v>
      </c>
    </row>
    <row r="456" spans="1:14" hidden="1" x14ac:dyDescent="0.2">
      <c r="A456" t="s">
        <v>18</v>
      </c>
      <c r="B456" t="s">
        <v>19</v>
      </c>
      <c r="C456" s="2">
        <v>41954</v>
      </c>
      <c r="D456">
        <v>692735</v>
      </c>
      <c r="E456">
        <v>6209960</v>
      </c>
      <c r="F456">
        <v>1</v>
      </c>
      <c r="G456">
        <v>6</v>
      </c>
      <c r="H456">
        <v>30</v>
      </c>
      <c r="I456">
        <v>50</v>
      </c>
      <c r="J456" t="str">
        <f>_xlfn.TEXTJOIN("-",,H456,I456)</f>
        <v>30-50</v>
      </c>
      <c r="K456" t="s">
        <v>27</v>
      </c>
      <c r="L456" t="s">
        <v>16</v>
      </c>
      <c r="M456" s="3">
        <v>0.72000003419816505</v>
      </c>
      <c r="N456" t="s">
        <v>17</v>
      </c>
    </row>
    <row r="457" spans="1:14" hidden="1" x14ac:dyDescent="0.2">
      <c r="A457" t="s">
        <v>13</v>
      </c>
      <c r="B457" t="s">
        <v>14</v>
      </c>
      <c r="C457" s="2">
        <v>41954</v>
      </c>
      <c r="D457">
        <v>695956</v>
      </c>
      <c r="E457">
        <v>6208568</v>
      </c>
      <c r="F457">
        <v>1</v>
      </c>
      <c r="G457">
        <v>5</v>
      </c>
      <c r="H457">
        <v>20</v>
      </c>
      <c r="I457">
        <v>30</v>
      </c>
      <c r="J457" t="str">
        <f>_xlfn.TEXTJOIN("-",,H457,I457)</f>
        <v>20-30</v>
      </c>
      <c r="K457" t="s">
        <v>27</v>
      </c>
      <c r="L457" t="s">
        <v>16</v>
      </c>
      <c r="M457" s="3">
        <v>0.52000002469867501</v>
      </c>
      <c r="N457" t="s">
        <v>17</v>
      </c>
    </row>
    <row r="458" spans="1:14" hidden="1" x14ac:dyDescent="0.2">
      <c r="A458" t="s">
        <v>13</v>
      </c>
      <c r="B458" t="s">
        <v>14</v>
      </c>
      <c r="C458" s="2">
        <v>41954</v>
      </c>
      <c r="D458">
        <v>695956</v>
      </c>
      <c r="E458">
        <v>6208568</v>
      </c>
      <c r="F458">
        <v>1</v>
      </c>
      <c r="G458">
        <v>3</v>
      </c>
      <c r="H458">
        <v>5</v>
      </c>
      <c r="I458">
        <v>10</v>
      </c>
      <c r="J458" t="str">
        <f>_xlfn.TEXTJOIN("-",,H458,I458)</f>
        <v>5-10</v>
      </c>
      <c r="K458" t="s">
        <v>25</v>
      </c>
      <c r="L458" t="s">
        <v>16</v>
      </c>
      <c r="M458" s="3">
        <v>29</v>
      </c>
      <c r="N458" t="s">
        <v>26</v>
      </c>
    </row>
    <row r="459" spans="1:14" hidden="1" x14ac:dyDescent="0.2">
      <c r="A459" t="s">
        <v>18</v>
      </c>
      <c r="B459" t="s">
        <v>19</v>
      </c>
      <c r="C459" s="2">
        <v>41954</v>
      </c>
      <c r="D459">
        <v>692735</v>
      </c>
      <c r="E459">
        <v>6209960</v>
      </c>
      <c r="F459">
        <v>1</v>
      </c>
      <c r="G459">
        <v>4</v>
      </c>
      <c r="H459">
        <v>10</v>
      </c>
      <c r="I459">
        <v>20</v>
      </c>
      <c r="J459" t="str">
        <f>_xlfn.TEXTJOIN("-",,H459,I459)</f>
        <v>10-20</v>
      </c>
      <c r="K459" t="s">
        <v>22</v>
      </c>
      <c r="L459" t="s">
        <v>16</v>
      </c>
      <c r="M459" s="3">
        <v>8.1</v>
      </c>
      <c r="N459" t="s">
        <v>23</v>
      </c>
    </row>
    <row r="460" spans="1:14" hidden="1" x14ac:dyDescent="0.2">
      <c r="A460" t="s">
        <v>13</v>
      </c>
      <c r="B460" t="s">
        <v>14</v>
      </c>
      <c r="C460" s="2">
        <v>41954</v>
      </c>
      <c r="D460">
        <v>695956</v>
      </c>
      <c r="E460">
        <v>6208568</v>
      </c>
      <c r="F460">
        <v>1</v>
      </c>
      <c r="G460">
        <v>4</v>
      </c>
      <c r="H460">
        <v>10</v>
      </c>
      <c r="I460">
        <v>20</v>
      </c>
      <c r="J460" t="str">
        <f>_xlfn.TEXTJOIN("-",,H460,I460)</f>
        <v>10-20</v>
      </c>
      <c r="K460" t="s">
        <v>25</v>
      </c>
      <c r="L460" t="s">
        <v>16</v>
      </c>
      <c r="M460" s="3">
        <v>22</v>
      </c>
      <c r="N460" t="s">
        <v>26</v>
      </c>
    </row>
    <row r="461" spans="1:14" hidden="1" x14ac:dyDescent="0.2">
      <c r="A461" t="s">
        <v>18</v>
      </c>
      <c r="B461" t="s">
        <v>19</v>
      </c>
      <c r="C461" s="2">
        <v>41954</v>
      </c>
      <c r="D461">
        <v>692735</v>
      </c>
      <c r="E461">
        <v>6209960</v>
      </c>
      <c r="F461">
        <v>1</v>
      </c>
      <c r="G461">
        <v>1</v>
      </c>
      <c r="H461">
        <v>0</v>
      </c>
      <c r="I461">
        <v>2</v>
      </c>
      <c r="J461" t="str">
        <f>_xlfn.TEXTJOIN("-",,H461,I461)</f>
        <v>0-2</v>
      </c>
      <c r="K461" t="s">
        <v>15</v>
      </c>
      <c r="L461" t="s">
        <v>16</v>
      </c>
      <c r="M461" s="3">
        <v>9.4000004464760405</v>
      </c>
      <c r="N461" t="s">
        <v>17</v>
      </c>
    </row>
    <row r="462" spans="1:14" hidden="1" x14ac:dyDescent="0.2">
      <c r="A462" t="s">
        <v>21</v>
      </c>
      <c r="B462" t="s">
        <v>14</v>
      </c>
      <c r="C462" s="2">
        <v>41954</v>
      </c>
      <c r="D462">
        <v>694929</v>
      </c>
      <c r="E462">
        <v>6209746</v>
      </c>
      <c r="F462">
        <v>1</v>
      </c>
      <c r="G462">
        <v>5</v>
      </c>
      <c r="H462">
        <v>20</v>
      </c>
      <c r="I462">
        <v>30</v>
      </c>
      <c r="J462" t="str">
        <f>_xlfn.TEXTJOIN("-",,H462,I462)</f>
        <v>20-30</v>
      </c>
      <c r="K462" t="s">
        <v>27</v>
      </c>
      <c r="L462" t="s">
        <v>16</v>
      </c>
      <c r="M462" s="3">
        <v>0.65000003087334302</v>
      </c>
      <c r="N462" t="s">
        <v>17</v>
      </c>
    </row>
    <row r="463" spans="1:14" hidden="1" x14ac:dyDescent="0.2">
      <c r="A463" t="s">
        <v>13</v>
      </c>
      <c r="B463" t="s">
        <v>14</v>
      </c>
      <c r="C463" s="2">
        <v>41954</v>
      </c>
      <c r="D463">
        <v>695956</v>
      </c>
      <c r="E463">
        <v>6208568</v>
      </c>
      <c r="F463">
        <v>1</v>
      </c>
      <c r="G463">
        <v>1</v>
      </c>
      <c r="H463">
        <v>0</v>
      </c>
      <c r="I463">
        <v>2</v>
      </c>
      <c r="J463" t="str">
        <f>_xlfn.TEXTJOIN("-",,H463,I463)</f>
        <v>0-2</v>
      </c>
      <c r="K463" t="s">
        <v>22</v>
      </c>
      <c r="L463" t="s">
        <v>16</v>
      </c>
      <c r="M463" s="3">
        <v>2.9</v>
      </c>
      <c r="N463" t="s">
        <v>23</v>
      </c>
    </row>
    <row r="464" spans="1:14" hidden="1" x14ac:dyDescent="0.2">
      <c r="A464" t="s">
        <v>21</v>
      </c>
      <c r="B464" t="s">
        <v>14</v>
      </c>
      <c r="C464" s="2">
        <v>41954</v>
      </c>
      <c r="D464">
        <v>694929</v>
      </c>
      <c r="E464">
        <v>6209746</v>
      </c>
      <c r="F464">
        <v>1</v>
      </c>
      <c r="G464">
        <v>2</v>
      </c>
      <c r="H464">
        <v>2</v>
      </c>
      <c r="I464">
        <v>5</v>
      </c>
      <c r="J464" t="str">
        <f>_xlfn.TEXTJOIN("-",,H464,I464)</f>
        <v>2-5</v>
      </c>
      <c r="K464" t="s">
        <v>25</v>
      </c>
      <c r="L464" t="s">
        <v>16</v>
      </c>
      <c r="M464" s="3">
        <v>37</v>
      </c>
      <c r="N464" t="s">
        <v>26</v>
      </c>
    </row>
    <row r="465" spans="1:14" hidden="1" x14ac:dyDescent="0.2">
      <c r="A465" t="s">
        <v>21</v>
      </c>
      <c r="B465" t="s">
        <v>14</v>
      </c>
      <c r="C465" s="2">
        <v>41954</v>
      </c>
      <c r="D465">
        <v>694929</v>
      </c>
      <c r="E465">
        <v>6209746</v>
      </c>
      <c r="F465">
        <v>1</v>
      </c>
      <c r="G465">
        <v>4</v>
      </c>
      <c r="H465">
        <v>10</v>
      </c>
      <c r="I465">
        <v>20</v>
      </c>
      <c r="J465" t="str">
        <f>_xlfn.TEXTJOIN("-",,H465,I465)</f>
        <v>10-20</v>
      </c>
      <c r="K465" t="s">
        <v>27</v>
      </c>
      <c r="L465" t="s">
        <v>16</v>
      </c>
      <c r="M465" s="3">
        <v>1.20000005699694</v>
      </c>
      <c r="N465" t="s">
        <v>17</v>
      </c>
    </row>
    <row r="466" spans="1:14" hidden="1" x14ac:dyDescent="0.2">
      <c r="A466" t="s">
        <v>18</v>
      </c>
      <c r="B466" t="s">
        <v>19</v>
      </c>
      <c r="C466" s="2">
        <v>41954</v>
      </c>
      <c r="D466">
        <v>692735</v>
      </c>
      <c r="E466">
        <v>6209960</v>
      </c>
      <c r="F466">
        <v>1</v>
      </c>
      <c r="G466">
        <v>3</v>
      </c>
      <c r="H466">
        <v>5</v>
      </c>
      <c r="I466">
        <v>10</v>
      </c>
      <c r="J466" t="str">
        <f>_xlfn.TEXTJOIN("-",,H466,I466)</f>
        <v>5-10</v>
      </c>
      <c r="K466" t="s">
        <v>22</v>
      </c>
      <c r="L466" t="s">
        <v>16</v>
      </c>
      <c r="M466" s="3">
        <v>6.4</v>
      </c>
      <c r="N466" t="s">
        <v>23</v>
      </c>
    </row>
    <row r="467" spans="1:14" hidden="1" x14ac:dyDescent="0.2">
      <c r="A467" t="s">
        <v>21</v>
      </c>
      <c r="B467" t="s">
        <v>14</v>
      </c>
      <c r="C467" s="2">
        <v>41954</v>
      </c>
      <c r="D467">
        <v>694929</v>
      </c>
      <c r="E467">
        <v>6209746</v>
      </c>
      <c r="F467">
        <v>1</v>
      </c>
      <c r="G467">
        <v>5</v>
      </c>
      <c r="H467">
        <v>20</v>
      </c>
      <c r="I467">
        <v>30</v>
      </c>
      <c r="J467" t="str">
        <f>_xlfn.TEXTJOIN("-",,H467,I467)</f>
        <v>20-30</v>
      </c>
      <c r="K467" t="s">
        <v>22</v>
      </c>
      <c r="L467" t="s">
        <v>16</v>
      </c>
      <c r="M467" s="3">
        <v>12</v>
      </c>
      <c r="N467" t="s">
        <v>23</v>
      </c>
    </row>
    <row r="468" spans="1:14" hidden="1" x14ac:dyDescent="0.2">
      <c r="A468" t="s">
        <v>18</v>
      </c>
      <c r="B468" t="s">
        <v>19</v>
      </c>
      <c r="C468" s="2">
        <v>41954</v>
      </c>
      <c r="D468">
        <v>692735</v>
      </c>
      <c r="E468">
        <v>6209960</v>
      </c>
      <c r="F468">
        <v>1</v>
      </c>
      <c r="G468">
        <v>5</v>
      </c>
      <c r="H468">
        <v>20</v>
      </c>
      <c r="I468">
        <v>30</v>
      </c>
      <c r="J468" t="str">
        <f>_xlfn.TEXTJOIN("-",,H468,I468)</f>
        <v>20-30</v>
      </c>
      <c r="K468" t="s">
        <v>25</v>
      </c>
      <c r="L468" t="s">
        <v>16</v>
      </c>
      <c r="M468" s="3">
        <v>29</v>
      </c>
      <c r="N468" t="s">
        <v>26</v>
      </c>
    </row>
    <row r="469" spans="1:14" hidden="1" x14ac:dyDescent="0.2">
      <c r="A469" t="s">
        <v>18</v>
      </c>
      <c r="B469" t="s">
        <v>19</v>
      </c>
      <c r="C469" s="2">
        <v>41954</v>
      </c>
      <c r="D469">
        <v>692735</v>
      </c>
      <c r="E469">
        <v>6209960</v>
      </c>
      <c r="F469">
        <v>1</v>
      </c>
      <c r="G469">
        <v>5</v>
      </c>
      <c r="H469">
        <v>20</v>
      </c>
      <c r="I469">
        <v>30</v>
      </c>
      <c r="J469" t="str">
        <f>_xlfn.TEXTJOIN("-",,H469,I469)</f>
        <v>20-30</v>
      </c>
      <c r="K469" t="s">
        <v>27</v>
      </c>
      <c r="L469" t="s">
        <v>16</v>
      </c>
      <c r="M469" s="3">
        <v>1.00000004749745</v>
      </c>
      <c r="N469" t="s">
        <v>17</v>
      </c>
    </row>
    <row r="470" spans="1:14" hidden="1" x14ac:dyDescent="0.2">
      <c r="A470" t="s">
        <v>21</v>
      </c>
      <c r="B470" t="s">
        <v>14</v>
      </c>
      <c r="C470" s="2">
        <v>41954</v>
      </c>
      <c r="D470">
        <v>694929</v>
      </c>
      <c r="E470">
        <v>6209746</v>
      </c>
      <c r="F470">
        <v>1</v>
      </c>
      <c r="G470">
        <v>6</v>
      </c>
      <c r="H470">
        <v>30</v>
      </c>
      <c r="I470">
        <v>50</v>
      </c>
      <c r="J470" t="str">
        <f>_xlfn.TEXTJOIN("-",,H470,I470)</f>
        <v>30-50</v>
      </c>
      <c r="K470" t="s">
        <v>15</v>
      </c>
      <c r="L470" t="s">
        <v>16</v>
      </c>
      <c r="M470" s="3">
        <v>17.000000807456701</v>
      </c>
      <c r="N470" t="s">
        <v>17</v>
      </c>
    </row>
    <row r="471" spans="1:14" hidden="1" x14ac:dyDescent="0.2">
      <c r="A471" t="s">
        <v>18</v>
      </c>
      <c r="B471" t="s">
        <v>19</v>
      </c>
      <c r="C471" s="2">
        <v>41954</v>
      </c>
      <c r="D471">
        <v>692735</v>
      </c>
      <c r="E471">
        <v>6209960</v>
      </c>
      <c r="F471">
        <v>1</v>
      </c>
      <c r="G471">
        <v>1</v>
      </c>
      <c r="H471">
        <v>0</v>
      </c>
      <c r="I471">
        <v>2</v>
      </c>
      <c r="J471" t="str">
        <f>_xlfn.TEXTJOIN("-",,H471,I471)</f>
        <v>0-2</v>
      </c>
      <c r="K471" t="s">
        <v>22</v>
      </c>
      <c r="L471" t="s">
        <v>16</v>
      </c>
      <c r="M471" s="3">
        <v>3.3</v>
      </c>
      <c r="N471" t="s">
        <v>23</v>
      </c>
    </row>
    <row r="472" spans="1:14" hidden="1" x14ac:dyDescent="0.2">
      <c r="A472" t="s">
        <v>21</v>
      </c>
      <c r="B472" t="s">
        <v>14</v>
      </c>
      <c r="C472" s="2">
        <v>41954</v>
      </c>
      <c r="D472">
        <v>694929</v>
      </c>
      <c r="E472">
        <v>6209746</v>
      </c>
      <c r="F472">
        <v>1</v>
      </c>
      <c r="G472">
        <v>1</v>
      </c>
      <c r="H472">
        <v>0</v>
      </c>
      <c r="I472">
        <v>2</v>
      </c>
      <c r="J472" t="str">
        <f>_xlfn.TEXTJOIN("-",,H472,I472)</f>
        <v>0-2</v>
      </c>
      <c r="K472" t="s">
        <v>15</v>
      </c>
      <c r="L472" t="s">
        <v>16</v>
      </c>
      <c r="M472" s="3">
        <v>9.5000004512257892</v>
      </c>
      <c r="N472" t="s">
        <v>17</v>
      </c>
    </row>
    <row r="473" spans="1:14" hidden="1" x14ac:dyDescent="0.2">
      <c r="A473" t="s">
        <v>21</v>
      </c>
      <c r="B473" t="s">
        <v>14</v>
      </c>
      <c r="C473" s="2">
        <v>41954</v>
      </c>
      <c r="D473">
        <v>694929</v>
      </c>
      <c r="E473">
        <v>6209746</v>
      </c>
      <c r="F473">
        <v>1</v>
      </c>
      <c r="G473">
        <v>6</v>
      </c>
      <c r="H473">
        <v>30</v>
      </c>
      <c r="I473">
        <v>50</v>
      </c>
      <c r="J473" t="str">
        <f>_xlfn.TEXTJOIN("-",,H473,I473)</f>
        <v>30-50</v>
      </c>
      <c r="K473" t="s">
        <v>22</v>
      </c>
      <c r="L473" t="s">
        <v>16</v>
      </c>
      <c r="M473" s="3">
        <v>18</v>
      </c>
      <c r="N473" t="s">
        <v>23</v>
      </c>
    </row>
    <row r="474" spans="1:14" hidden="1" x14ac:dyDescent="0.2">
      <c r="A474" t="s">
        <v>13</v>
      </c>
      <c r="B474" t="s">
        <v>14</v>
      </c>
      <c r="C474" s="2">
        <v>41954</v>
      </c>
      <c r="D474">
        <v>695956</v>
      </c>
      <c r="E474">
        <v>6208568</v>
      </c>
      <c r="F474">
        <v>1</v>
      </c>
      <c r="G474">
        <v>1</v>
      </c>
      <c r="H474">
        <v>0</v>
      </c>
      <c r="I474">
        <v>2</v>
      </c>
      <c r="J474" t="str">
        <f>_xlfn.TEXTJOIN("-",,H474,I474)</f>
        <v>0-2</v>
      </c>
      <c r="K474" t="s">
        <v>15</v>
      </c>
      <c r="L474" t="s">
        <v>16</v>
      </c>
      <c r="M474" s="3">
        <v>10.000000474974501</v>
      </c>
      <c r="N474" t="s">
        <v>17</v>
      </c>
    </row>
    <row r="475" spans="1:14" hidden="1" x14ac:dyDescent="0.2">
      <c r="A475" t="s">
        <v>13</v>
      </c>
      <c r="B475" t="s">
        <v>14</v>
      </c>
      <c r="C475" s="2">
        <v>41954</v>
      </c>
      <c r="D475">
        <v>695956</v>
      </c>
      <c r="E475">
        <v>6208568</v>
      </c>
      <c r="F475">
        <v>1</v>
      </c>
      <c r="G475">
        <v>5</v>
      </c>
      <c r="H475">
        <v>20</v>
      </c>
      <c r="I475">
        <v>30</v>
      </c>
      <c r="J475" t="str">
        <f>_xlfn.TEXTJOIN("-",,H475,I475)</f>
        <v>20-30</v>
      </c>
      <c r="K475" t="s">
        <v>22</v>
      </c>
      <c r="L475" t="s">
        <v>16</v>
      </c>
      <c r="M475" s="3">
        <v>13</v>
      </c>
      <c r="N475" t="s">
        <v>23</v>
      </c>
    </row>
    <row r="476" spans="1:14" hidden="1" x14ac:dyDescent="0.2">
      <c r="A476" t="s">
        <v>13</v>
      </c>
      <c r="B476" t="s">
        <v>14</v>
      </c>
      <c r="C476" s="2">
        <v>41954</v>
      </c>
      <c r="D476">
        <v>695956</v>
      </c>
      <c r="E476">
        <v>6208568</v>
      </c>
      <c r="F476">
        <v>1</v>
      </c>
      <c r="G476">
        <v>5</v>
      </c>
      <c r="H476">
        <v>20</v>
      </c>
      <c r="I476">
        <v>30</v>
      </c>
      <c r="J476" t="str">
        <f>_xlfn.TEXTJOIN("-",,H476,I476)</f>
        <v>20-30</v>
      </c>
      <c r="K476" t="s">
        <v>25</v>
      </c>
      <c r="L476" t="s">
        <v>16</v>
      </c>
      <c r="M476" s="3">
        <v>17</v>
      </c>
      <c r="N476" t="s">
        <v>26</v>
      </c>
    </row>
    <row r="477" spans="1:14" hidden="1" x14ac:dyDescent="0.2">
      <c r="A477" t="s">
        <v>18</v>
      </c>
      <c r="B477" t="s">
        <v>19</v>
      </c>
      <c r="C477" s="2">
        <v>41954</v>
      </c>
      <c r="D477">
        <v>692735</v>
      </c>
      <c r="E477">
        <v>6209960</v>
      </c>
      <c r="F477">
        <v>1</v>
      </c>
      <c r="G477">
        <v>4</v>
      </c>
      <c r="H477">
        <v>10</v>
      </c>
      <c r="I477">
        <v>20</v>
      </c>
      <c r="J477" t="str">
        <f>_xlfn.TEXTJOIN("-",,H477,I477)</f>
        <v>10-20</v>
      </c>
      <c r="K477" t="s">
        <v>15</v>
      </c>
      <c r="L477" t="s">
        <v>16</v>
      </c>
      <c r="M477" s="3">
        <v>12.0000005699694</v>
      </c>
      <c r="N477" t="s">
        <v>17</v>
      </c>
    </row>
    <row r="478" spans="1:14" x14ac:dyDescent="0.2">
      <c r="A478" t="s">
        <v>18</v>
      </c>
      <c r="B478" t="s">
        <v>19</v>
      </c>
      <c r="C478" s="2">
        <v>34330</v>
      </c>
      <c r="D478">
        <v>692735</v>
      </c>
      <c r="E478">
        <v>6209960</v>
      </c>
      <c r="F478">
        <v>1</v>
      </c>
      <c r="G478">
        <v>3</v>
      </c>
      <c r="H478">
        <v>5</v>
      </c>
      <c r="I478">
        <v>10</v>
      </c>
      <c r="J478" t="str">
        <f>_xlfn.TEXTJOIN("-",,H478,I478)</f>
        <v>5-10</v>
      </c>
      <c r="K478" t="s">
        <v>27</v>
      </c>
      <c r="L478" t="s">
        <v>16</v>
      </c>
      <c r="M478" s="3">
        <v>0.60200002859346602</v>
      </c>
      <c r="N478" t="s">
        <v>17</v>
      </c>
    </row>
    <row r="479" spans="1:14" x14ac:dyDescent="0.2">
      <c r="A479" t="s">
        <v>13</v>
      </c>
      <c r="B479" t="s">
        <v>14</v>
      </c>
      <c r="C479" s="2">
        <v>35745</v>
      </c>
      <c r="D479">
        <v>695956</v>
      </c>
      <c r="E479">
        <v>6208568</v>
      </c>
      <c r="F479">
        <v>1</v>
      </c>
      <c r="G479">
        <v>3</v>
      </c>
      <c r="H479">
        <v>5</v>
      </c>
      <c r="I479">
        <v>10</v>
      </c>
      <c r="J479" t="str">
        <f>_xlfn.TEXTJOIN("-",,H479,I479)</f>
        <v>5-10</v>
      </c>
      <c r="K479" t="s">
        <v>27</v>
      </c>
      <c r="L479" t="s">
        <v>16</v>
      </c>
      <c r="M479" s="3">
        <v>2.1500001021195199</v>
      </c>
      <c r="N479" t="s">
        <v>17</v>
      </c>
    </row>
    <row r="480" spans="1:14" hidden="1" x14ac:dyDescent="0.2">
      <c r="A480" t="s">
        <v>21</v>
      </c>
      <c r="B480" t="s">
        <v>14</v>
      </c>
      <c r="C480" s="2">
        <v>41954</v>
      </c>
      <c r="D480">
        <v>694929</v>
      </c>
      <c r="E480">
        <v>6209746</v>
      </c>
      <c r="F480">
        <v>1</v>
      </c>
      <c r="G480">
        <v>5</v>
      </c>
      <c r="H480">
        <v>20</v>
      </c>
      <c r="I480">
        <v>30</v>
      </c>
      <c r="J480" t="str">
        <f>_xlfn.TEXTJOIN("-",,H480,I480)</f>
        <v>20-30</v>
      </c>
      <c r="K480" t="s">
        <v>25</v>
      </c>
      <c r="L480" t="s">
        <v>16</v>
      </c>
      <c r="M480" s="3">
        <v>19</v>
      </c>
      <c r="N480" t="s">
        <v>26</v>
      </c>
    </row>
    <row r="481" spans="1:14" x14ac:dyDescent="0.2">
      <c r="A481" t="s">
        <v>18</v>
      </c>
      <c r="B481" t="s">
        <v>19</v>
      </c>
      <c r="C481" s="2">
        <v>35745</v>
      </c>
      <c r="D481">
        <v>692735</v>
      </c>
      <c r="E481">
        <v>6209960</v>
      </c>
      <c r="F481">
        <v>1</v>
      </c>
      <c r="G481">
        <v>3</v>
      </c>
      <c r="H481">
        <v>5</v>
      </c>
      <c r="I481">
        <v>10</v>
      </c>
      <c r="J481" t="str">
        <f>_xlfn.TEXTJOIN("-",,H481,I481)</f>
        <v>5-10</v>
      </c>
      <c r="K481" t="s">
        <v>27</v>
      </c>
      <c r="L481" t="s">
        <v>16</v>
      </c>
      <c r="M481" s="3">
        <v>1.6400000778958199</v>
      </c>
      <c r="N481" t="s">
        <v>17</v>
      </c>
    </row>
    <row r="482" spans="1:14" hidden="1" x14ac:dyDescent="0.2">
      <c r="A482" t="s">
        <v>18</v>
      </c>
      <c r="B482" t="s">
        <v>19</v>
      </c>
      <c r="C482" s="2">
        <v>41954</v>
      </c>
      <c r="D482">
        <v>692735</v>
      </c>
      <c r="E482">
        <v>6209960</v>
      </c>
      <c r="F482">
        <v>1</v>
      </c>
      <c r="G482">
        <v>3</v>
      </c>
      <c r="H482">
        <v>5</v>
      </c>
      <c r="I482">
        <v>10</v>
      </c>
      <c r="J482" t="str">
        <f>_xlfn.TEXTJOIN("-",,H482,I482)</f>
        <v>5-10</v>
      </c>
      <c r="K482" t="s">
        <v>15</v>
      </c>
      <c r="L482" t="s">
        <v>16</v>
      </c>
      <c r="M482" s="3">
        <v>10.000000474974501</v>
      </c>
      <c r="N482" t="s">
        <v>17</v>
      </c>
    </row>
    <row r="483" spans="1:14" hidden="1" x14ac:dyDescent="0.2">
      <c r="A483" t="s">
        <v>13</v>
      </c>
      <c r="B483" t="s">
        <v>14</v>
      </c>
      <c r="C483" s="2">
        <v>41954</v>
      </c>
      <c r="D483">
        <v>695956</v>
      </c>
      <c r="E483">
        <v>6208568</v>
      </c>
      <c r="F483">
        <v>1</v>
      </c>
      <c r="G483">
        <v>4</v>
      </c>
      <c r="H483">
        <v>10</v>
      </c>
      <c r="I483">
        <v>20</v>
      </c>
      <c r="J483" t="str">
        <f>_xlfn.TEXTJOIN("-",,H483,I483)</f>
        <v>10-20</v>
      </c>
      <c r="K483" t="s">
        <v>22</v>
      </c>
      <c r="L483" t="s">
        <v>16</v>
      </c>
      <c r="M483" s="3">
        <v>9.1999999999999993</v>
      </c>
      <c r="N483" t="s">
        <v>23</v>
      </c>
    </row>
    <row r="484" spans="1:14" hidden="1" x14ac:dyDescent="0.2">
      <c r="A484" t="s">
        <v>18</v>
      </c>
      <c r="B484" t="s">
        <v>19</v>
      </c>
      <c r="C484" s="2">
        <v>41954</v>
      </c>
      <c r="D484">
        <v>692735</v>
      </c>
      <c r="E484">
        <v>6209960</v>
      </c>
      <c r="F484">
        <v>1</v>
      </c>
      <c r="G484">
        <v>5</v>
      </c>
      <c r="H484">
        <v>20</v>
      </c>
      <c r="I484">
        <v>30</v>
      </c>
      <c r="J484" t="str">
        <f>_xlfn.TEXTJOIN("-",,H484,I484)</f>
        <v>20-30</v>
      </c>
      <c r="K484" t="s">
        <v>15</v>
      </c>
      <c r="L484" t="s">
        <v>16</v>
      </c>
      <c r="M484" s="3">
        <v>13.000000617466901</v>
      </c>
      <c r="N484" t="s">
        <v>17</v>
      </c>
    </row>
    <row r="485" spans="1:14" hidden="1" x14ac:dyDescent="0.2">
      <c r="A485" t="s">
        <v>13</v>
      </c>
      <c r="B485" t="s">
        <v>14</v>
      </c>
      <c r="C485" s="2">
        <v>41954</v>
      </c>
      <c r="D485">
        <v>695956</v>
      </c>
      <c r="E485">
        <v>6208568</v>
      </c>
      <c r="F485">
        <v>1</v>
      </c>
      <c r="G485">
        <v>2</v>
      </c>
      <c r="H485">
        <v>2</v>
      </c>
      <c r="I485">
        <v>5</v>
      </c>
      <c r="J485" t="str">
        <f>_xlfn.TEXTJOIN("-",,H485,I485)</f>
        <v>2-5</v>
      </c>
      <c r="K485" t="s">
        <v>22</v>
      </c>
      <c r="L485" t="s">
        <v>16</v>
      </c>
      <c r="M485" s="3">
        <v>4.3</v>
      </c>
      <c r="N485" t="s">
        <v>23</v>
      </c>
    </row>
    <row r="486" spans="1:14" hidden="1" x14ac:dyDescent="0.2">
      <c r="A486" t="s">
        <v>21</v>
      </c>
      <c r="B486" t="s">
        <v>14</v>
      </c>
      <c r="C486" s="2">
        <v>41954</v>
      </c>
      <c r="D486">
        <v>694929</v>
      </c>
      <c r="E486">
        <v>6209746</v>
      </c>
      <c r="F486">
        <v>1</v>
      </c>
      <c r="G486">
        <v>4</v>
      </c>
      <c r="H486">
        <v>10</v>
      </c>
      <c r="I486">
        <v>20</v>
      </c>
      <c r="J486" t="str">
        <f>_xlfn.TEXTJOIN("-",,H486,I486)</f>
        <v>10-20</v>
      </c>
      <c r="K486" t="s">
        <v>22</v>
      </c>
      <c r="L486" t="s">
        <v>16</v>
      </c>
      <c r="M486" s="3">
        <v>7.9</v>
      </c>
      <c r="N486" t="s">
        <v>23</v>
      </c>
    </row>
    <row r="487" spans="1:14" hidden="1" x14ac:dyDescent="0.2">
      <c r="A487" t="s">
        <v>13</v>
      </c>
      <c r="B487" t="s">
        <v>14</v>
      </c>
      <c r="C487" s="2">
        <v>41954</v>
      </c>
      <c r="D487">
        <v>695956</v>
      </c>
      <c r="E487">
        <v>6208568</v>
      </c>
      <c r="F487">
        <v>1</v>
      </c>
      <c r="G487">
        <v>6</v>
      </c>
      <c r="H487">
        <v>30</v>
      </c>
      <c r="I487">
        <v>50</v>
      </c>
      <c r="J487" t="str">
        <f>_xlfn.TEXTJOIN("-",,H487,I487)</f>
        <v>30-50</v>
      </c>
      <c r="K487" t="s">
        <v>22</v>
      </c>
      <c r="L487" t="s">
        <v>16</v>
      </c>
      <c r="M487" s="3">
        <v>19</v>
      </c>
      <c r="N487" t="s">
        <v>23</v>
      </c>
    </row>
    <row r="488" spans="1:14" hidden="1" x14ac:dyDescent="0.2">
      <c r="A488" t="s">
        <v>18</v>
      </c>
      <c r="B488" t="s">
        <v>19</v>
      </c>
      <c r="C488" s="2">
        <v>41954</v>
      </c>
      <c r="D488">
        <v>692735</v>
      </c>
      <c r="E488">
        <v>6209960</v>
      </c>
      <c r="F488">
        <v>1</v>
      </c>
      <c r="G488">
        <v>6</v>
      </c>
      <c r="H488">
        <v>30</v>
      </c>
      <c r="I488">
        <v>50</v>
      </c>
      <c r="J488" t="str">
        <f>_xlfn.TEXTJOIN("-",,H488,I488)</f>
        <v>30-50</v>
      </c>
      <c r="K488" t="s">
        <v>15</v>
      </c>
      <c r="L488" t="s">
        <v>16</v>
      </c>
      <c r="M488" s="3">
        <v>15.0000007124618</v>
      </c>
      <c r="N488" t="s">
        <v>17</v>
      </c>
    </row>
    <row r="489" spans="1:14" hidden="1" x14ac:dyDescent="0.2">
      <c r="A489" t="s">
        <v>21</v>
      </c>
      <c r="B489" t="s">
        <v>14</v>
      </c>
      <c r="C489" s="2">
        <v>41954</v>
      </c>
      <c r="D489">
        <v>694929</v>
      </c>
      <c r="E489">
        <v>6209746</v>
      </c>
      <c r="F489">
        <v>1</v>
      </c>
      <c r="G489">
        <v>2</v>
      </c>
      <c r="H489">
        <v>2</v>
      </c>
      <c r="I489">
        <v>5</v>
      </c>
      <c r="J489" t="str">
        <f>_xlfn.TEXTJOIN("-",,H489,I489)</f>
        <v>2-5</v>
      </c>
      <c r="K489" t="s">
        <v>15</v>
      </c>
      <c r="L489" t="s">
        <v>16</v>
      </c>
      <c r="M489" s="3">
        <v>10.000000474974501</v>
      </c>
      <c r="N489" t="s">
        <v>17</v>
      </c>
    </row>
    <row r="490" spans="1:14" hidden="1" x14ac:dyDescent="0.2">
      <c r="A490" t="s">
        <v>21</v>
      </c>
      <c r="B490" t="s">
        <v>14</v>
      </c>
      <c r="C490" s="2">
        <v>41954</v>
      </c>
      <c r="D490">
        <v>694929</v>
      </c>
      <c r="E490">
        <v>6209746</v>
      </c>
      <c r="F490">
        <v>1</v>
      </c>
      <c r="G490">
        <v>4</v>
      </c>
      <c r="H490">
        <v>10</v>
      </c>
      <c r="I490">
        <v>20</v>
      </c>
      <c r="J490" t="str">
        <f>_xlfn.TEXTJOIN("-",,H490,I490)</f>
        <v>10-20</v>
      </c>
      <c r="K490" t="s">
        <v>25</v>
      </c>
      <c r="L490" t="s">
        <v>16</v>
      </c>
      <c r="M490" s="3">
        <v>29</v>
      </c>
      <c r="N490" t="s">
        <v>26</v>
      </c>
    </row>
    <row r="491" spans="1:14" hidden="1" x14ac:dyDescent="0.2">
      <c r="A491" t="s">
        <v>21</v>
      </c>
      <c r="B491" t="s">
        <v>14</v>
      </c>
      <c r="C491" s="2">
        <v>41954</v>
      </c>
      <c r="D491">
        <v>694929</v>
      </c>
      <c r="E491">
        <v>6209746</v>
      </c>
      <c r="F491">
        <v>1</v>
      </c>
      <c r="G491">
        <v>5</v>
      </c>
      <c r="H491">
        <v>20</v>
      </c>
      <c r="I491">
        <v>30</v>
      </c>
      <c r="J491" t="str">
        <f>_xlfn.TEXTJOIN("-",,H491,I491)</f>
        <v>20-30</v>
      </c>
      <c r="K491" t="s">
        <v>15</v>
      </c>
      <c r="L491" t="s">
        <v>16</v>
      </c>
      <c r="M491" s="3">
        <v>17.000000807456701</v>
      </c>
      <c r="N491" t="s">
        <v>17</v>
      </c>
    </row>
    <row r="492" spans="1:14" hidden="1" x14ac:dyDescent="0.2">
      <c r="A492" t="s">
        <v>18</v>
      </c>
      <c r="B492" t="s">
        <v>19</v>
      </c>
      <c r="C492" s="2">
        <v>41954</v>
      </c>
      <c r="D492">
        <v>692735</v>
      </c>
      <c r="E492">
        <v>6209960</v>
      </c>
      <c r="F492">
        <v>1</v>
      </c>
      <c r="G492">
        <v>5</v>
      </c>
      <c r="H492">
        <v>20</v>
      </c>
      <c r="I492">
        <v>30</v>
      </c>
      <c r="J492" t="str">
        <f>_xlfn.TEXTJOIN("-",,H492,I492)</f>
        <v>20-30</v>
      </c>
      <c r="K492" t="s">
        <v>22</v>
      </c>
      <c r="L492" t="s">
        <v>16</v>
      </c>
      <c r="M492" s="3">
        <v>10</v>
      </c>
      <c r="N492" t="s">
        <v>23</v>
      </c>
    </row>
    <row r="493" spans="1:14" hidden="1" x14ac:dyDescent="0.2">
      <c r="A493" t="s">
        <v>21</v>
      </c>
      <c r="B493" t="s">
        <v>14</v>
      </c>
      <c r="C493" s="2">
        <v>41954</v>
      </c>
      <c r="D493">
        <v>694929</v>
      </c>
      <c r="E493">
        <v>6209746</v>
      </c>
      <c r="F493">
        <v>1</v>
      </c>
      <c r="G493">
        <v>1</v>
      </c>
      <c r="H493">
        <v>0</v>
      </c>
      <c r="I493">
        <v>2</v>
      </c>
      <c r="J493" t="str">
        <f>_xlfn.TEXTJOIN("-",,H493,I493)</f>
        <v>0-2</v>
      </c>
      <c r="K493" t="s">
        <v>25</v>
      </c>
      <c r="L493" t="s">
        <v>16</v>
      </c>
      <c r="M493" s="3">
        <v>39</v>
      </c>
      <c r="N493" t="s">
        <v>26</v>
      </c>
    </row>
    <row r="494" spans="1:14" hidden="1" x14ac:dyDescent="0.2">
      <c r="A494" t="s">
        <v>13</v>
      </c>
      <c r="B494" t="s">
        <v>14</v>
      </c>
      <c r="C494" s="2">
        <v>41954</v>
      </c>
      <c r="D494">
        <v>695956</v>
      </c>
      <c r="E494">
        <v>6208568</v>
      </c>
      <c r="F494">
        <v>1</v>
      </c>
      <c r="G494">
        <v>2</v>
      </c>
      <c r="H494">
        <v>2</v>
      </c>
      <c r="I494">
        <v>5</v>
      </c>
      <c r="J494" t="str">
        <f>_xlfn.TEXTJOIN("-",,H494,I494)</f>
        <v>2-5</v>
      </c>
      <c r="K494" t="s">
        <v>15</v>
      </c>
      <c r="L494" t="s">
        <v>16</v>
      </c>
      <c r="M494" s="3">
        <v>11.000000522472</v>
      </c>
      <c r="N494" t="s">
        <v>17</v>
      </c>
    </row>
    <row r="495" spans="1:14" hidden="1" x14ac:dyDescent="0.2">
      <c r="A495" t="s">
        <v>21</v>
      </c>
      <c r="B495" t="s">
        <v>14</v>
      </c>
      <c r="C495" s="2">
        <v>41954</v>
      </c>
      <c r="D495">
        <v>694929</v>
      </c>
      <c r="E495">
        <v>6209746</v>
      </c>
      <c r="F495">
        <v>1</v>
      </c>
      <c r="G495">
        <v>3</v>
      </c>
      <c r="H495">
        <v>5</v>
      </c>
      <c r="I495">
        <v>10</v>
      </c>
      <c r="J495" t="str">
        <f>_xlfn.TEXTJOIN("-",,H495,I495)</f>
        <v>5-10</v>
      </c>
      <c r="K495" t="s">
        <v>25</v>
      </c>
      <c r="L495" t="s">
        <v>16</v>
      </c>
      <c r="M495" s="3">
        <v>34</v>
      </c>
      <c r="N495" t="s">
        <v>26</v>
      </c>
    </row>
    <row r="496" spans="1:14" hidden="1" x14ac:dyDescent="0.2">
      <c r="A496" t="s">
        <v>21</v>
      </c>
      <c r="B496" t="s">
        <v>14</v>
      </c>
      <c r="C496" s="2">
        <v>41954</v>
      </c>
      <c r="D496">
        <v>694929</v>
      </c>
      <c r="E496">
        <v>6209746</v>
      </c>
      <c r="F496">
        <v>1</v>
      </c>
      <c r="G496">
        <v>4</v>
      </c>
      <c r="H496">
        <v>10</v>
      </c>
      <c r="I496">
        <v>20</v>
      </c>
      <c r="J496" t="str">
        <f>_xlfn.TEXTJOIN("-",,H496,I496)</f>
        <v>10-20</v>
      </c>
      <c r="K496" t="s">
        <v>15</v>
      </c>
      <c r="L496" t="s">
        <v>16</v>
      </c>
      <c r="M496" s="3">
        <v>12.0000005699694</v>
      </c>
      <c r="N496" t="s">
        <v>17</v>
      </c>
    </row>
    <row r="497" spans="1:14" x14ac:dyDescent="0.2">
      <c r="A497" t="s">
        <v>21</v>
      </c>
      <c r="B497" t="s">
        <v>14</v>
      </c>
      <c r="C497" s="2">
        <v>35745</v>
      </c>
      <c r="D497">
        <v>694929</v>
      </c>
      <c r="E497">
        <v>6209746</v>
      </c>
      <c r="F497">
        <v>1</v>
      </c>
      <c r="G497">
        <v>3</v>
      </c>
      <c r="H497">
        <v>5</v>
      </c>
      <c r="I497">
        <v>10</v>
      </c>
      <c r="J497" t="str">
        <f>_xlfn.TEXTJOIN("-",,H497,I497)</f>
        <v>5-10</v>
      </c>
      <c r="K497" t="s">
        <v>27</v>
      </c>
      <c r="L497" t="s">
        <v>16</v>
      </c>
      <c r="M497" s="3">
        <v>1.56000007409602</v>
      </c>
      <c r="N497" t="s">
        <v>17</v>
      </c>
    </row>
    <row r="498" spans="1:14" hidden="1" x14ac:dyDescent="0.2">
      <c r="A498" t="s">
        <v>13</v>
      </c>
      <c r="B498" t="s">
        <v>14</v>
      </c>
      <c r="C498" s="2">
        <v>41954</v>
      </c>
      <c r="D498">
        <v>695956</v>
      </c>
      <c r="E498">
        <v>6208568</v>
      </c>
      <c r="F498">
        <v>1</v>
      </c>
      <c r="G498">
        <v>2</v>
      </c>
      <c r="H498">
        <v>2</v>
      </c>
      <c r="I498">
        <v>5</v>
      </c>
      <c r="J498" t="str">
        <f>_xlfn.TEXTJOIN("-",,H498,I498)</f>
        <v>2-5</v>
      </c>
      <c r="K498" t="s">
        <v>25</v>
      </c>
      <c r="L498" t="s">
        <v>16</v>
      </c>
      <c r="M498" s="3">
        <v>32</v>
      </c>
      <c r="N498" t="s">
        <v>26</v>
      </c>
    </row>
    <row r="499" spans="1:14" hidden="1" x14ac:dyDescent="0.2">
      <c r="A499" t="s">
        <v>18</v>
      </c>
      <c r="B499" t="s">
        <v>19</v>
      </c>
      <c r="C499" s="2">
        <v>41954</v>
      </c>
      <c r="D499">
        <v>692735</v>
      </c>
      <c r="E499">
        <v>6209960</v>
      </c>
      <c r="F499">
        <v>1</v>
      </c>
      <c r="G499">
        <v>6</v>
      </c>
      <c r="H499">
        <v>30</v>
      </c>
      <c r="I499">
        <v>50</v>
      </c>
      <c r="J499" t="str">
        <f>_xlfn.TEXTJOIN("-",,H499,I499)</f>
        <v>30-50</v>
      </c>
      <c r="K499" t="s">
        <v>25</v>
      </c>
      <c r="L499" t="s">
        <v>16</v>
      </c>
      <c r="M499" s="3">
        <v>36</v>
      </c>
      <c r="N499" t="s">
        <v>26</v>
      </c>
    </row>
    <row r="500" spans="1:14" x14ac:dyDescent="0.2">
      <c r="A500" t="s">
        <v>21</v>
      </c>
      <c r="B500" t="s">
        <v>14</v>
      </c>
      <c r="C500" s="2">
        <v>37565</v>
      </c>
      <c r="D500">
        <v>694929</v>
      </c>
      <c r="E500">
        <v>6209746</v>
      </c>
      <c r="F500">
        <v>1</v>
      </c>
      <c r="G500">
        <v>3</v>
      </c>
      <c r="H500">
        <v>5</v>
      </c>
      <c r="I500">
        <v>10</v>
      </c>
      <c r="J500" t="str">
        <f>_xlfn.TEXTJOIN("-",,H500,I500)</f>
        <v>5-10</v>
      </c>
      <c r="K500" t="s">
        <v>27</v>
      </c>
      <c r="L500" t="s">
        <v>16</v>
      </c>
      <c r="M500" s="3">
        <v>0.842000039992854</v>
      </c>
      <c r="N500" t="s">
        <v>17</v>
      </c>
    </row>
    <row r="501" spans="1:14" hidden="1" x14ac:dyDescent="0.2">
      <c r="A501" t="s">
        <v>13</v>
      </c>
      <c r="B501" t="s">
        <v>14</v>
      </c>
      <c r="C501" s="2">
        <v>41954</v>
      </c>
      <c r="D501">
        <v>695956</v>
      </c>
      <c r="E501">
        <v>6208568</v>
      </c>
      <c r="F501">
        <v>1</v>
      </c>
      <c r="G501">
        <v>6</v>
      </c>
      <c r="H501">
        <v>30</v>
      </c>
      <c r="I501">
        <v>50</v>
      </c>
      <c r="J501" t="str">
        <f>_xlfn.TEXTJOIN("-",,H501,I501)</f>
        <v>30-50</v>
      </c>
      <c r="K501" t="s">
        <v>25</v>
      </c>
      <c r="L501" t="s">
        <v>16</v>
      </c>
      <c r="M501" s="3">
        <v>13</v>
      </c>
      <c r="N501" t="s">
        <v>26</v>
      </c>
    </row>
    <row r="502" spans="1:14" hidden="1" x14ac:dyDescent="0.2">
      <c r="A502" t="s">
        <v>18</v>
      </c>
      <c r="B502" t="s">
        <v>19</v>
      </c>
      <c r="C502" s="2">
        <v>41954</v>
      </c>
      <c r="D502">
        <v>692735</v>
      </c>
      <c r="E502">
        <v>6209960</v>
      </c>
      <c r="F502">
        <v>1</v>
      </c>
      <c r="G502">
        <v>2</v>
      </c>
      <c r="H502">
        <v>2</v>
      </c>
      <c r="I502">
        <v>5</v>
      </c>
      <c r="J502" t="str">
        <f>_xlfn.TEXTJOIN("-",,H502,I502)</f>
        <v>2-5</v>
      </c>
      <c r="K502" t="s">
        <v>22</v>
      </c>
      <c r="L502" t="s">
        <v>16</v>
      </c>
      <c r="M502" s="3">
        <v>4.9000000000000004</v>
      </c>
      <c r="N502" t="s">
        <v>23</v>
      </c>
    </row>
    <row r="503" spans="1:14" hidden="1" x14ac:dyDescent="0.2">
      <c r="A503" t="s">
        <v>18</v>
      </c>
      <c r="B503" t="s">
        <v>19</v>
      </c>
      <c r="C503" s="2">
        <v>41954</v>
      </c>
      <c r="D503">
        <v>692735</v>
      </c>
      <c r="E503">
        <v>6209960</v>
      </c>
      <c r="F503">
        <v>1</v>
      </c>
      <c r="G503">
        <v>2</v>
      </c>
      <c r="H503">
        <v>2</v>
      </c>
      <c r="I503">
        <v>5</v>
      </c>
      <c r="J503" t="str">
        <f>_xlfn.TEXTJOIN("-",,H503,I503)</f>
        <v>2-5</v>
      </c>
      <c r="K503" t="s">
        <v>15</v>
      </c>
      <c r="L503" t="s">
        <v>16</v>
      </c>
      <c r="M503" s="3">
        <v>11.000000522472</v>
      </c>
      <c r="N503" t="s">
        <v>17</v>
      </c>
    </row>
    <row r="504" spans="1:14" hidden="1" x14ac:dyDescent="0.2">
      <c r="A504" t="s">
        <v>13</v>
      </c>
      <c r="B504" t="s">
        <v>14</v>
      </c>
      <c r="C504" s="2">
        <v>41954</v>
      </c>
      <c r="D504">
        <v>695956</v>
      </c>
      <c r="E504">
        <v>6208568</v>
      </c>
      <c r="F504">
        <v>1</v>
      </c>
      <c r="G504">
        <v>3</v>
      </c>
      <c r="H504">
        <v>5</v>
      </c>
      <c r="I504">
        <v>10</v>
      </c>
      <c r="J504" t="str">
        <f>_xlfn.TEXTJOIN("-",,H504,I504)</f>
        <v>5-10</v>
      </c>
      <c r="K504" t="s">
        <v>15</v>
      </c>
      <c r="L504" t="s">
        <v>16</v>
      </c>
      <c r="M504" s="3">
        <v>12.0000005699694</v>
      </c>
      <c r="N504" t="s">
        <v>17</v>
      </c>
    </row>
    <row r="505" spans="1:14" hidden="1" x14ac:dyDescent="0.2">
      <c r="A505" t="s">
        <v>21</v>
      </c>
      <c r="B505" t="s">
        <v>14</v>
      </c>
      <c r="C505" s="2">
        <v>41954</v>
      </c>
      <c r="D505">
        <v>694929</v>
      </c>
      <c r="E505">
        <v>6209746</v>
      </c>
      <c r="F505">
        <v>1</v>
      </c>
      <c r="G505">
        <v>6</v>
      </c>
      <c r="H505">
        <v>30</v>
      </c>
      <c r="I505">
        <v>50</v>
      </c>
      <c r="J505" t="str">
        <f>_xlfn.TEXTJOIN("-",,H505,I505)</f>
        <v>30-50</v>
      </c>
      <c r="K505" t="s">
        <v>27</v>
      </c>
      <c r="L505" t="s">
        <v>16</v>
      </c>
      <c r="M505" s="3">
        <v>0.52000002469867501</v>
      </c>
      <c r="N505" t="s">
        <v>17</v>
      </c>
    </row>
    <row r="506" spans="1:14" x14ac:dyDescent="0.2">
      <c r="A506" t="s">
        <v>18</v>
      </c>
      <c r="B506" t="s">
        <v>19</v>
      </c>
      <c r="C506" s="2">
        <v>37565</v>
      </c>
      <c r="D506">
        <v>692735</v>
      </c>
      <c r="E506">
        <v>6209960</v>
      </c>
      <c r="F506">
        <v>1</v>
      </c>
      <c r="G506">
        <v>3</v>
      </c>
      <c r="H506">
        <v>5</v>
      </c>
      <c r="I506">
        <v>10</v>
      </c>
      <c r="J506" t="str">
        <f>_xlfn.TEXTJOIN("-",,H506,I506)</f>
        <v>5-10</v>
      </c>
      <c r="K506" t="s">
        <v>27</v>
      </c>
      <c r="L506" t="s">
        <v>16</v>
      </c>
      <c r="M506" s="3">
        <v>0.697000033105724</v>
      </c>
      <c r="N506" t="s">
        <v>17</v>
      </c>
    </row>
    <row r="507" spans="1:14" hidden="1" x14ac:dyDescent="0.2">
      <c r="A507" t="s">
        <v>13</v>
      </c>
      <c r="B507" t="s">
        <v>14</v>
      </c>
      <c r="C507" s="2">
        <v>41954</v>
      </c>
      <c r="D507">
        <v>695956</v>
      </c>
      <c r="E507">
        <v>6208568</v>
      </c>
      <c r="F507">
        <v>1</v>
      </c>
      <c r="G507">
        <v>6</v>
      </c>
      <c r="H507">
        <v>30</v>
      </c>
      <c r="I507">
        <v>50</v>
      </c>
      <c r="J507" t="str">
        <f>_xlfn.TEXTJOIN("-",,H507,I507)</f>
        <v>30-50</v>
      </c>
      <c r="K507" t="s">
        <v>15</v>
      </c>
      <c r="L507" t="s">
        <v>16</v>
      </c>
      <c r="M507" s="3">
        <v>10.000000474974501</v>
      </c>
      <c r="N507" t="s">
        <v>17</v>
      </c>
    </row>
    <row r="508" spans="1:14" hidden="1" x14ac:dyDescent="0.2">
      <c r="A508" t="s">
        <v>21</v>
      </c>
      <c r="B508" t="s">
        <v>14</v>
      </c>
      <c r="C508" s="2">
        <v>41954</v>
      </c>
      <c r="D508">
        <v>694929</v>
      </c>
      <c r="E508">
        <v>6209746</v>
      </c>
      <c r="F508">
        <v>1</v>
      </c>
      <c r="G508">
        <v>2</v>
      </c>
      <c r="H508">
        <v>2</v>
      </c>
      <c r="I508">
        <v>5</v>
      </c>
      <c r="J508" t="str">
        <f>_xlfn.TEXTJOIN("-",,H508,I508)</f>
        <v>2-5</v>
      </c>
      <c r="K508" t="s">
        <v>22</v>
      </c>
      <c r="L508" t="s">
        <v>16</v>
      </c>
      <c r="M508" s="3">
        <v>4.3</v>
      </c>
      <c r="N508" t="s">
        <v>23</v>
      </c>
    </row>
    <row r="509" spans="1:14" x14ac:dyDescent="0.2">
      <c r="A509" t="s">
        <v>13</v>
      </c>
      <c r="B509" t="s">
        <v>14</v>
      </c>
      <c r="C509" s="2">
        <v>37565</v>
      </c>
      <c r="D509">
        <v>695956</v>
      </c>
      <c r="E509">
        <v>6208568</v>
      </c>
      <c r="F509">
        <v>1</v>
      </c>
      <c r="G509">
        <v>3</v>
      </c>
      <c r="H509">
        <v>5</v>
      </c>
      <c r="I509">
        <v>10</v>
      </c>
      <c r="J509" t="str">
        <f>_xlfn.TEXTJOIN("-",,H509,I509)</f>
        <v>5-10</v>
      </c>
      <c r="K509" t="s">
        <v>27</v>
      </c>
      <c r="L509" t="s">
        <v>16</v>
      </c>
      <c r="M509" s="3">
        <v>0.44100002094637603</v>
      </c>
      <c r="N509" t="s">
        <v>17</v>
      </c>
    </row>
    <row r="510" spans="1:14" hidden="1" x14ac:dyDescent="0.2">
      <c r="A510" t="s">
        <v>18</v>
      </c>
      <c r="B510" t="s">
        <v>19</v>
      </c>
      <c r="C510" s="2">
        <v>41954</v>
      </c>
      <c r="D510">
        <v>692735</v>
      </c>
      <c r="E510">
        <v>6209960</v>
      </c>
      <c r="F510">
        <v>1</v>
      </c>
      <c r="G510">
        <v>2</v>
      </c>
      <c r="H510">
        <v>2</v>
      </c>
      <c r="I510">
        <v>5</v>
      </c>
      <c r="J510" t="str">
        <f>_xlfn.TEXTJOIN("-",,H510,I510)</f>
        <v>2-5</v>
      </c>
      <c r="K510" t="s">
        <v>25</v>
      </c>
      <c r="L510" t="s">
        <v>16</v>
      </c>
      <c r="M510" s="3">
        <v>33</v>
      </c>
      <c r="N510" t="s">
        <v>26</v>
      </c>
    </row>
    <row r="511" spans="1:14" hidden="1" x14ac:dyDescent="0.2">
      <c r="A511" t="s">
        <v>18</v>
      </c>
      <c r="B511" t="s">
        <v>19</v>
      </c>
      <c r="C511" s="2">
        <v>41954</v>
      </c>
      <c r="D511">
        <v>692735</v>
      </c>
      <c r="E511">
        <v>6209960</v>
      </c>
      <c r="F511">
        <v>1</v>
      </c>
      <c r="G511">
        <v>6</v>
      </c>
      <c r="H511">
        <v>30</v>
      </c>
      <c r="I511">
        <v>50</v>
      </c>
      <c r="J511" t="str">
        <f>_xlfn.TEXTJOIN("-",,H511,I511)</f>
        <v>30-50</v>
      </c>
      <c r="K511" t="s">
        <v>22</v>
      </c>
      <c r="L511" t="s">
        <v>16</v>
      </c>
      <c r="M511" s="3">
        <v>11</v>
      </c>
      <c r="N511" t="s">
        <v>23</v>
      </c>
    </row>
    <row r="512" spans="1:14" hidden="1" x14ac:dyDescent="0.2">
      <c r="A512" t="s">
        <v>13</v>
      </c>
      <c r="B512" t="s">
        <v>14</v>
      </c>
      <c r="C512" s="2">
        <v>41954</v>
      </c>
      <c r="D512">
        <v>695956</v>
      </c>
      <c r="E512">
        <v>6208568</v>
      </c>
      <c r="F512">
        <v>1</v>
      </c>
      <c r="G512">
        <v>1</v>
      </c>
      <c r="H512">
        <v>0</v>
      </c>
      <c r="I512">
        <v>2</v>
      </c>
      <c r="J512" t="str">
        <f>_xlfn.TEXTJOIN("-",,H512,I512)</f>
        <v>0-2</v>
      </c>
      <c r="K512" t="s">
        <v>25</v>
      </c>
      <c r="L512" t="s">
        <v>16</v>
      </c>
      <c r="M512" s="3">
        <v>33</v>
      </c>
      <c r="N512" t="s">
        <v>26</v>
      </c>
    </row>
    <row r="513" spans="1:14" hidden="1" x14ac:dyDescent="0.2">
      <c r="A513" t="s">
        <v>13</v>
      </c>
      <c r="B513" t="s">
        <v>14</v>
      </c>
      <c r="C513" s="2">
        <v>41954</v>
      </c>
      <c r="D513">
        <v>695956</v>
      </c>
      <c r="E513">
        <v>6208568</v>
      </c>
      <c r="F513">
        <v>1</v>
      </c>
      <c r="G513">
        <v>4</v>
      </c>
      <c r="H513">
        <v>10</v>
      </c>
      <c r="I513">
        <v>20</v>
      </c>
      <c r="J513" t="str">
        <f>_xlfn.TEXTJOIN("-",,H513,I513)</f>
        <v>10-20</v>
      </c>
      <c r="K513" t="s">
        <v>15</v>
      </c>
      <c r="L513" t="s">
        <v>16</v>
      </c>
      <c r="M513" s="3">
        <v>11.000000522472</v>
      </c>
      <c r="N513" t="s">
        <v>17</v>
      </c>
    </row>
    <row r="514" spans="1:14" hidden="1" x14ac:dyDescent="0.2">
      <c r="A514" t="s">
        <v>21</v>
      </c>
      <c r="B514" t="s">
        <v>14</v>
      </c>
      <c r="C514" s="2">
        <v>41954</v>
      </c>
      <c r="D514">
        <v>694929</v>
      </c>
      <c r="E514">
        <v>6209746</v>
      </c>
      <c r="F514">
        <v>1</v>
      </c>
      <c r="G514">
        <v>6</v>
      </c>
      <c r="H514">
        <v>30</v>
      </c>
      <c r="I514">
        <v>50</v>
      </c>
      <c r="J514" t="str">
        <f>_xlfn.TEXTJOIN("-",,H514,I514)</f>
        <v>30-50</v>
      </c>
      <c r="K514" t="s">
        <v>25</v>
      </c>
      <c r="L514" t="s">
        <v>16</v>
      </c>
      <c r="M514" s="3">
        <v>16</v>
      </c>
      <c r="N514" t="s">
        <v>26</v>
      </c>
    </row>
    <row r="515" spans="1:14" hidden="1" x14ac:dyDescent="0.2">
      <c r="A515" t="s">
        <v>18</v>
      </c>
      <c r="B515" t="s">
        <v>19</v>
      </c>
      <c r="C515" s="2">
        <v>41954</v>
      </c>
      <c r="D515">
        <v>692735</v>
      </c>
      <c r="E515">
        <v>6209960</v>
      </c>
      <c r="F515">
        <v>1</v>
      </c>
      <c r="G515">
        <v>4</v>
      </c>
      <c r="H515">
        <v>10</v>
      </c>
      <c r="I515">
        <v>20</v>
      </c>
      <c r="J515" t="str">
        <f>_xlfn.TEXTJOIN("-",,H515,I515)</f>
        <v>10-20</v>
      </c>
      <c r="K515" t="s">
        <v>25</v>
      </c>
      <c r="L515" t="s">
        <v>16</v>
      </c>
      <c r="M515" s="3">
        <v>30</v>
      </c>
      <c r="N515" t="s">
        <v>26</v>
      </c>
    </row>
    <row r="516" spans="1:14" hidden="1" x14ac:dyDescent="0.2">
      <c r="A516" t="s">
        <v>13</v>
      </c>
      <c r="B516" t="s">
        <v>14</v>
      </c>
      <c r="C516" s="2">
        <v>41954</v>
      </c>
      <c r="D516">
        <v>695956</v>
      </c>
      <c r="E516">
        <v>6208568</v>
      </c>
      <c r="F516">
        <v>1</v>
      </c>
      <c r="G516">
        <v>4</v>
      </c>
      <c r="H516">
        <v>10</v>
      </c>
      <c r="I516">
        <v>20</v>
      </c>
      <c r="J516" t="str">
        <f>_xlfn.TEXTJOIN("-",,H516,I516)</f>
        <v>10-20</v>
      </c>
      <c r="K516" t="s">
        <v>27</v>
      </c>
      <c r="L516" t="s">
        <v>16</v>
      </c>
      <c r="M516" s="3">
        <v>0.86000004084780801</v>
      </c>
      <c r="N516" t="s">
        <v>17</v>
      </c>
    </row>
    <row r="517" spans="1:14" hidden="1" x14ac:dyDescent="0.2">
      <c r="A517" t="s">
        <v>13</v>
      </c>
      <c r="B517" t="s">
        <v>14</v>
      </c>
      <c r="C517" s="2">
        <v>41954</v>
      </c>
      <c r="D517">
        <v>695956</v>
      </c>
      <c r="E517">
        <v>6208568</v>
      </c>
      <c r="F517">
        <v>1</v>
      </c>
      <c r="G517">
        <v>5</v>
      </c>
      <c r="H517">
        <v>20</v>
      </c>
      <c r="I517">
        <v>30</v>
      </c>
      <c r="J517" t="str">
        <f>_xlfn.TEXTJOIN("-",,H517,I517)</f>
        <v>20-30</v>
      </c>
      <c r="K517" t="s">
        <v>15</v>
      </c>
      <c r="L517" t="s">
        <v>16</v>
      </c>
      <c r="M517" s="3">
        <v>17.000000807456701</v>
      </c>
      <c r="N517" t="s">
        <v>17</v>
      </c>
    </row>
    <row r="518" spans="1:14" hidden="1" x14ac:dyDescent="0.2">
      <c r="A518" t="s">
        <v>13</v>
      </c>
      <c r="B518" t="s">
        <v>14</v>
      </c>
      <c r="C518" s="2">
        <v>41954</v>
      </c>
      <c r="D518">
        <v>695956</v>
      </c>
      <c r="E518">
        <v>6208568</v>
      </c>
      <c r="F518">
        <v>1</v>
      </c>
      <c r="G518">
        <v>6</v>
      </c>
      <c r="H518">
        <v>30</v>
      </c>
      <c r="I518">
        <v>50</v>
      </c>
      <c r="J518" t="str">
        <f>_xlfn.TEXTJOIN("-",,H518,I518)</f>
        <v>30-50</v>
      </c>
      <c r="K518" t="s">
        <v>27</v>
      </c>
      <c r="L518" t="s">
        <v>33</v>
      </c>
      <c r="M518" s="3">
        <v>0.10000000474974501</v>
      </c>
      <c r="N518" t="s">
        <v>17</v>
      </c>
    </row>
    <row r="519" spans="1:14" x14ac:dyDescent="0.2">
      <c r="A519" t="s">
        <v>21</v>
      </c>
      <c r="B519" t="s">
        <v>14</v>
      </c>
      <c r="C519" s="2">
        <v>40128</v>
      </c>
      <c r="D519">
        <v>694929</v>
      </c>
      <c r="E519">
        <v>6209746</v>
      </c>
      <c r="F519">
        <v>1</v>
      </c>
      <c r="G519">
        <v>3</v>
      </c>
      <c r="H519">
        <v>5</v>
      </c>
      <c r="I519">
        <v>10</v>
      </c>
      <c r="J519" t="str">
        <f>_xlfn.TEXTJOIN("-",,H519,I519)</f>
        <v>5-10</v>
      </c>
      <c r="K519" t="s">
        <v>27</v>
      </c>
      <c r="L519" t="s">
        <v>16</v>
      </c>
      <c r="M519" s="3">
        <v>1.27000006032176</v>
      </c>
      <c r="N519" t="s">
        <v>17</v>
      </c>
    </row>
    <row r="520" spans="1:14" hidden="1" x14ac:dyDescent="0.2">
      <c r="A520" t="s">
        <v>21</v>
      </c>
      <c r="B520" t="s">
        <v>14</v>
      </c>
      <c r="C520" s="2">
        <v>41954</v>
      </c>
      <c r="D520">
        <v>694929</v>
      </c>
      <c r="E520">
        <v>6209746</v>
      </c>
      <c r="F520">
        <v>1</v>
      </c>
      <c r="G520">
        <v>3</v>
      </c>
      <c r="H520">
        <v>5</v>
      </c>
      <c r="I520">
        <v>10</v>
      </c>
      <c r="J520" t="str">
        <f>_xlfn.TEXTJOIN("-",,H520,I520)</f>
        <v>5-10</v>
      </c>
      <c r="K520" t="s">
        <v>22</v>
      </c>
      <c r="L520" t="s">
        <v>16</v>
      </c>
      <c r="M520" s="3">
        <v>5.3</v>
      </c>
      <c r="N520" t="s">
        <v>23</v>
      </c>
    </row>
    <row r="521" spans="1:14" hidden="1" x14ac:dyDescent="0.2">
      <c r="A521" t="s">
        <v>18</v>
      </c>
      <c r="B521" t="s">
        <v>19</v>
      </c>
      <c r="C521" s="2">
        <v>41954</v>
      </c>
      <c r="D521">
        <v>692735</v>
      </c>
      <c r="E521">
        <v>6209960</v>
      </c>
      <c r="F521">
        <v>1</v>
      </c>
      <c r="G521">
        <v>4</v>
      </c>
      <c r="H521">
        <v>10</v>
      </c>
      <c r="I521">
        <v>20</v>
      </c>
      <c r="J521" t="str">
        <f>_xlfn.TEXTJOIN("-",,H521,I521)</f>
        <v>10-20</v>
      </c>
      <c r="K521" t="s">
        <v>27</v>
      </c>
      <c r="L521" t="s">
        <v>16</v>
      </c>
      <c r="M521" s="3">
        <v>1.20000005699694</v>
      </c>
      <c r="N521" t="s">
        <v>17</v>
      </c>
    </row>
    <row r="522" spans="1:14" hidden="1" x14ac:dyDescent="0.2">
      <c r="A522" t="s">
        <v>13</v>
      </c>
      <c r="B522" t="s">
        <v>14</v>
      </c>
      <c r="C522" s="2">
        <v>41954</v>
      </c>
      <c r="D522">
        <v>695956</v>
      </c>
      <c r="E522">
        <v>6208568</v>
      </c>
      <c r="F522">
        <v>1</v>
      </c>
      <c r="G522">
        <v>3</v>
      </c>
      <c r="H522">
        <v>5</v>
      </c>
      <c r="I522">
        <v>10</v>
      </c>
      <c r="J522" t="str">
        <f>_xlfn.TEXTJOIN("-",,H522,I522)</f>
        <v>5-10</v>
      </c>
      <c r="K522" t="s">
        <v>22</v>
      </c>
      <c r="L522" t="s">
        <v>16</v>
      </c>
      <c r="M522" s="3">
        <v>6</v>
      </c>
      <c r="N522" t="s">
        <v>23</v>
      </c>
    </row>
    <row r="523" spans="1:14" hidden="1" x14ac:dyDescent="0.2">
      <c r="A523" t="s">
        <v>18</v>
      </c>
      <c r="B523" t="s">
        <v>19</v>
      </c>
      <c r="C523" s="2">
        <v>41954</v>
      </c>
      <c r="D523">
        <v>692735</v>
      </c>
      <c r="E523">
        <v>6209960</v>
      </c>
      <c r="F523">
        <v>1</v>
      </c>
      <c r="G523">
        <v>3</v>
      </c>
      <c r="H523">
        <v>5</v>
      </c>
      <c r="I523">
        <v>10</v>
      </c>
      <c r="J523" t="str">
        <f>_xlfn.TEXTJOIN("-",,H523,I523)</f>
        <v>5-10</v>
      </c>
      <c r="K523" t="s">
        <v>25</v>
      </c>
      <c r="L523" t="s">
        <v>16</v>
      </c>
      <c r="M523" s="3">
        <v>26</v>
      </c>
      <c r="N523" t="s">
        <v>26</v>
      </c>
    </row>
    <row r="524" spans="1:14" hidden="1" x14ac:dyDescent="0.2">
      <c r="A524" t="s">
        <v>18</v>
      </c>
      <c r="B524" t="s">
        <v>19</v>
      </c>
      <c r="C524" s="2">
        <v>41954</v>
      </c>
      <c r="D524">
        <v>692735</v>
      </c>
      <c r="E524">
        <v>6209960</v>
      </c>
      <c r="F524">
        <v>1</v>
      </c>
      <c r="G524">
        <v>1</v>
      </c>
      <c r="H524">
        <v>0</v>
      </c>
      <c r="I524">
        <v>2</v>
      </c>
      <c r="J524" t="str">
        <f>_xlfn.TEXTJOIN("-",,H524,I524)</f>
        <v>0-2</v>
      </c>
      <c r="K524" t="s">
        <v>25</v>
      </c>
      <c r="L524" t="s">
        <v>16</v>
      </c>
      <c r="M524" s="3">
        <v>34</v>
      </c>
      <c r="N524" t="s">
        <v>26</v>
      </c>
    </row>
    <row r="525" spans="1:14" x14ac:dyDescent="0.2">
      <c r="A525" t="s">
        <v>18</v>
      </c>
      <c r="B525" t="s">
        <v>19</v>
      </c>
      <c r="C525" s="2">
        <v>40128</v>
      </c>
      <c r="D525">
        <v>692735</v>
      </c>
      <c r="E525">
        <v>6209960</v>
      </c>
      <c r="F525">
        <v>1</v>
      </c>
      <c r="G525">
        <v>3</v>
      </c>
      <c r="H525">
        <v>5</v>
      </c>
      <c r="I525">
        <v>10</v>
      </c>
      <c r="J525" t="str">
        <f>_xlfn.TEXTJOIN("-",,H525,I525)</f>
        <v>5-10</v>
      </c>
      <c r="K525" t="s">
        <v>27</v>
      </c>
      <c r="L525" t="s">
        <v>16</v>
      </c>
      <c r="M525" s="3">
        <v>1.4400000683963301</v>
      </c>
      <c r="N525" t="s">
        <v>17</v>
      </c>
    </row>
    <row r="526" spans="1:14" hidden="1" x14ac:dyDescent="0.2">
      <c r="A526" t="s">
        <v>21</v>
      </c>
      <c r="B526" t="s">
        <v>14</v>
      </c>
      <c r="C526" s="2">
        <v>41954</v>
      </c>
      <c r="D526">
        <v>694929</v>
      </c>
      <c r="E526">
        <v>6209746</v>
      </c>
      <c r="F526">
        <v>1</v>
      </c>
      <c r="G526">
        <v>3</v>
      </c>
      <c r="H526">
        <v>5</v>
      </c>
      <c r="I526">
        <v>10</v>
      </c>
      <c r="J526" t="str">
        <f>_xlfn.TEXTJOIN("-",,H526,I526)</f>
        <v>5-10</v>
      </c>
      <c r="K526" t="s">
        <v>15</v>
      </c>
      <c r="L526" t="s">
        <v>16</v>
      </c>
      <c r="M526" s="3">
        <v>11.000000522472</v>
      </c>
      <c r="N526" t="s">
        <v>17</v>
      </c>
    </row>
    <row r="527" spans="1:14" hidden="1" x14ac:dyDescent="0.2">
      <c r="A527" t="s">
        <v>13</v>
      </c>
      <c r="B527" t="s">
        <v>14</v>
      </c>
      <c r="C527" s="2">
        <v>43412</v>
      </c>
      <c r="D527">
        <v>695956</v>
      </c>
      <c r="E527">
        <v>6208568</v>
      </c>
      <c r="F527">
        <v>1</v>
      </c>
      <c r="G527">
        <v>2</v>
      </c>
      <c r="H527">
        <v>2</v>
      </c>
      <c r="I527">
        <v>5</v>
      </c>
      <c r="J527" t="str">
        <f>_xlfn.TEXTJOIN("-",,H527,I527)</f>
        <v>2-5</v>
      </c>
      <c r="K527" t="s">
        <v>15</v>
      </c>
      <c r="L527" t="s">
        <v>16</v>
      </c>
      <c r="M527" s="3">
        <v>13.000000617466901</v>
      </c>
      <c r="N527" t="s">
        <v>17</v>
      </c>
    </row>
    <row r="528" spans="1:14" hidden="1" x14ac:dyDescent="0.2">
      <c r="A528" t="s">
        <v>13</v>
      </c>
      <c r="B528" t="s">
        <v>14</v>
      </c>
      <c r="C528" s="2">
        <v>43412</v>
      </c>
      <c r="D528">
        <v>695956</v>
      </c>
      <c r="E528">
        <v>6208568</v>
      </c>
      <c r="F528">
        <v>1</v>
      </c>
      <c r="G528">
        <v>3</v>
      </c>
      <c r="H528">
        <v>5</v>
      </c>
      <c r="I528">
        <v>10</v>
      </c>
      <c r="J528" t="str">
        <f>_xlfn.TEXTJOIN("-",,H528,I528)</f>
        <v>5-10</v>
      </c>
      <c r="K528" t="s">
        <v>25</v>
      </c>
      <c r="L528" t="s">
        <v>16</v>
      </c>
      <c r="M528" s="3">
        <v>28.8</v>
      </c>
      <c r="N528" t="s">
        <v>26</v>
      </c>
    </row>
    <row r="529" spans="1:14" hidden="1" x14ac:dyDescent="0.2">
      <c r="A529" t="s">
        <v>13</v>
      </c>
      <c r="B529" t="s">
        <v>14</v>
      </c>
      <c r="C529" s="2">
        <v>43412</v>
      </c>
      <c r="D529">
        <v>695956</v>
      </c>
      <c r="E529">
        <v>6208568</v>
      </c>
      <c r="F529">
        <v>1</v>
      </c>
      <c r="G529">
        <v>4</v>
      </c>
      <c r="H529">
        <v>10</v>
      </c>
      <c r="I529">
        <v>20</v>
      </c>
      <c r="J529" t="str">
        <f>_xlfn.TEXTJOIN("-",,H529,I529)</f>
        <v>10-20</v>
      </c>
      <c r="K529" t="s">
        <v>15</v>
      </c>
      <c r="L529" t="s">
        <v>16</v>
      </c>
      <c r="M529" s="3">
        <v>14.000000664964301</v>
      </c>
      <c r="N529" t="s">
        <v>17</v>
      </c>
    </row>
    <row r="530" spans="1:14" x14ac:dyDescent="0.2">
      <c r="A530" t="s">
        <v>13</v>
      </c>
      <c r="B530" t="s">
        <v>14</v>
      </c>
      <c r="C530" s="2">
        <v>40128</v>
      </c>
      <c r="D530">
        <v>695956</v>
      </c>
      <c r="E530">
        <v>6208568</v>
      </c>
      <c r="F530">
        <v>1</v>
      </c>
      <c r="G530">
        <v>3</v>
      </c>
      <c r="H530">
        <v>5</v>
      </c>
      <c r="I530">
        <v>10</v>
      </c>
      <c r="J530" t="str">
        <f>_xlfn.TEXTJOIN("-",,H530,I530)</f>
        <v>5-10</v>
      </c>
      <c r="K530" t="s">
        <v>27</v>
      </c>
      <c r="L530" t="s">
        <v>16</v>
      </c>
      <c r="M530" s="3">
        <v>0.87100004137027998</v>
      </c>
      <c r="N530" t="s">
        <v>17</v>
      </c>
    </row>
    <row r="531" spans="1:14" hidden="1" x14ac:dyDescent="0.2">
      <c r="A531" t="s">
        <v>18</v>
      </c>
      <c r="B531" t="s">
        <v>19</v>
      </c>
      <c r="C531" s="2">
        <v>43412</v>
      </c>
      <c r="D531">
        <v>692735</v>
      </c>
      <c r="E531">
        <v>6209960</v>
      </c>
      <c r="F531">
        <v>1</v>
      </c>
      <c r="G531">
        <v>5</v>
      </c>
      <c r="H531">
        <v>20</v>
      </c>
      <c r="I531">
        <v>30</v>
      </c>
      <c r="J531" t="str">
        <f>_xlfn.TEXTJOIN("-",,H531,I531)</f>
        <v>20-30</v>
      </c>
      <c r="K531" t="s">
        <v>22</v>
      </c>
      <c r="L531" t="s">
        <v>16</v>
      </c>
      <c r="M531" s="3">
        <v>9.43</v>
      </c>
      <c r="N531" t="s">
        <v>23</v>
      </c>
    </row>
    <row r="532" spans="1:14" hidden="1" x14ac:dyDescent="0.2">
      <c r="A532" t="s">
        <v>13</v>
      </c>
      <c r="B532" t="s">
        <v>14</v>
      </c>
      <c r="C532" s="2">
        <v>43412</v>
      </c>
      <c r="D532">
        <v>695956</v>
      </c>
      <c r="E532">
        <v>6208568</v>
      </c>
      <c r="F532">
        <v>1</v>
      </c>
      <c r="G532">
        <v>5</v>
      </c>
      <c r="H532">
        <v>20</v>
      </c>
      <c r="I532">
        <v>30</v>
      </c>
      <c r="J532" t="str">
        <f>_xlfn.TEXTJOIN("-",,H532,I532)</f>
        <v>20-30</v>
      </c>
      <c r="K532" t="s">
        <v>15</v>
      </c>
      <c r="L532" t="s">
        <v>16</v>
      </c>
      <c r="M532" s="3">
        <v>15.0000007124618</v>
      </c>
      <c r="N532" t="s">
        <v>17</v>
      </c>
    </row>
    <row r="533" spans="1:14" hidden="1" x14ac:dyDescent="0.2">
      <c r="A533" t="s">
        <v>18</v>
      </c>
      <c r="B533" t="s">
        <v>19</v>
      </c>
      <c r="C533" s="2">
        <v>43412</v>
      </c>
      <c r="D533">
        <v>692735</v>
      </c>
      <c r="E533">
        <v>6209960</v>
      </c>
      <c r="F533">
        <v>1</v>
      </c>
      <c r="G533">
        <v>6</v>
      </c>
      <c r="H533">
        <v>30</v>
      </c>
      <c r="I533">
        <v>49</v>
      </c>
      <c r="J533" t="str">
        <f>_xlfn.TEXTJOIN("-",,H533,I533)</f>
        <v>30-49</v>
      </c>
      <c r="K533" t="s">
        <v>22</v>
      </c>
      <c r="L533" t="s">
        <v>16</v>
      </c>
      <c r="M533" s="3">
        <v>14.3</v>
      </c>
      <c r="N533" t="s">
        <v>23</v>
      </c>
    </row>
    <row r="534" spans="1:14" hidden="1" x14ac:dyDescent="0.2">
      <c r="A534" t="s">
        <v>18</v>
      </c>
      <c r="B534" t="s">
        <v>19</v>
      </c>
      <c r="C534" s="2">
        <v>43412</v>
      </c>
      <c r="D534">
        <v>692735</v>
      </c>
      <c r="E534">
        <v>6209960</v>
      </c>
      <c r="F534">
        <v>1</v>
      </c>
      <c r="G534">
        <v>4</v>
      </c>
      <c r="H534">
        <v>10</v>
      </c>
      <c r="I534">
        <v>20</v>
      </c>
      <c r="J534" t="str">
        <f>_xlfn.TEXTJOIN("-",,H534,I534)</f>
        <v>10-20</v>
      </c>
      <c r="K534" t="s">
        <v>27</v>
      </c>
      <c r="L534" t="s">
        <v>16</v>
      </c>
      <c r="M534" s="3">
        <v>0.92000004369765498</v>
      </c>
      <c r="N534" t="s">
        <v>17</v>
      </c>
    </row>
    <row r="535" spans="1:14" hidden="1" x14ac:dyDescent="0.2">
      <c r="A535" t="s">
        <v>21</v>
      </c>
      <c r="B535" t="s">
        <v>14</v>
      </c>
      <c r="C535" s="2">
        <v>43412</v>
      </c>
      <c r="D535">
        <v>694929</v>
      </c>
      <c r="E535">
        <v>6209746</v>
      </c>
      <c r="F535">
        <v>1</v>
      </c>
      <c r="G535">
        <v>3</v>
      </c>
      <c r="H535">
        <v>5</v>
      </c>
      <c r="I535">
        <v>10</v>
      </c>
      <c r="J535" t="str">
        <f>_xlfn.TEXTJOIN("-",,H535,I535)</f>
        <v>5-10</v>
      </c>
      <c r="K535" t="s">
        <v>15</v>
      </c>
      <c r="L535" t="s">
        <v>16</v>
      </c>
      <c r="M535" s="3">
        <v>12.0000005699694</v>
      </c>
      <c r="N535" t="s">
        <v>17</v>
      </c>
    </row>
    <row r="536" spans="1:14" hidden="1" x14ac:dyDescent="0.2">
      <c r="A536" t="s">
        <v>18</v>
      </c>
      <c r="B536" t="s">
        <v>19</v>
      </c>
      <c r="C536" s="2">
        <v>43412</v>
      </c>
      <c r="D536">
        <v>692735</v>
      </c>
      <c r="E536">
        <v>6209960</v>
      </c>
      <c r="F536">
        <v>1</v>
      </c>
      <c r="G536">
        <v>5</v>
      </c>
      <c r="H536">
        <v>20</v>
      </c>
      <c r="I536">
        <v>30</v>
      </c>
      <c r="J536" t="str">
        <f>_xlfn.TEXTJOIN("-",,H536,I536)</f>
        <v>20-30</v>
      </c>
      <c r="K536" t="s">
        <v>15</v>
      </c>
      <c r="L536" t="s">
        <v>16</v>
      </c>
      <c r="M536" s="3">
        <v>16.0000007599592</v>
      </c>
      <c r="N536" t="s">
        <v>17</v>
      </c>
    </row>
    <row r="537" spans="1:14" hidden="1" x14ac:dyDescent="0.2">
      <c r="A537" t="s">
        <v>18</v>
      </c>
      <c r="B537" t="s">
        <v>19</v>
      </c>
      <c r="C537" s="2">
        <v>43412</v>
      </c>
      <c r="D537">
        <v>692735</v>
      </c>
      <c r="E537">
        <v>6209960</v>
      </c>
      <c r="F537">
        <v>1</v>
      </c>
      <c r="G537">
        <v>4</v>
      </c>
      <c r="H537">
        <v>10</v>
      </c>
      <c r="I537">
        <v>20</v>
      </c>
      <c r="J537" t="str">
        <f>_xlfn.TEXTJOIN("-",,H537,I537)</f>
        <v>10-20</v>
      </c>
      <c r="K537" t="s">
        <v>22</v>
      </c>
      <c r="L537" t="s">
        <v>16</v>
      </c>
      <c r="M537" s="3">
        <v>13.9</v>
      </c>
      <c r="N537" t="s">
        <v>23</v>
      </c>
    </row>
    <row r="538" spans="1:14" hidden="1" x14ac:dyDescent="0.2">
      <c r="A538" t="s">
        <v>13</v>
      </c>
      <c r="B538" t="s">
        <v>14</v>
      </c>
      <c r="C538" s="2">
        <v>43412</v>
      </c>
      <c r="D538">
        <v>695956</v>
      </c>
      <c r="E538">
        <v>6208568</v>
      </c>
      <c r="F538">
        <v>1</v>
      </c>
      <c r="G538">
        <v>5</v>
      </c>
      <c r="H538">
        <v>20</v>
      </c>
      <c r="I538">
        <v>30</v>
      </c>
      <c r="J538" t="str">
        <f>_xlfn.TEXTJOIN("-",,H538,I538)</f>
        <v>20-30</v>
      </c>
      <c r="K538" t="s">
        <v>22</v>
      </c>
      <c r="L538" t="s">
        <v>16</v>
      </c>
      <c r="M538" s="3">
        <v>14.4</v>
      </c>
      <c r="N538" t="s">
        <v>23</v>
      </c>
    </row>
    <row r="539" spans="1:14" hidden="1" x14ac:dyDescent="0.2">
      <c r="A539" t="s">
        <v>13</v>
      </c>
      <c r="B539" t="s">
        <v>14</v>
      </c>
      <c r="C539" s="2">
        <v>43412</v>
      </c>
      <c r="D539">
        <v>695956</v>
      </c>
      <c r="E539">
        <v>6208568</v>
      </c>
      <c r="F539">
        <v>1</v>
      </c>
      <c r="G539">
        <v>5</v>
      </c>
      <c r="H539">
        <v>20</v>
      </c>
      <c r="I539">
        <v>30</v>
      </c>
      <c r="J539" t="str">
        <f>_xlfn.TEXTJOIN("-",,H539,I539)</f>
        <v>20-30</v>
      </c>
      <c r="K539" t="s">
        <v>25</v>
      </c>
      <c r="L539" t="s">
        <v>16</v>
      </c>
      <c r="M539" s="3">
        <v>20.6</v>
      </c>
      <c r="N539" t="s">
        <v>26</v>
      </c>
    </row>
    <row r="540" spans="1:14" hidden="1" x14ac:dyDescent="0.2">
      <c r="A540" t="s">
        <v>13</v>
      </c>
      <c r="B540" t="s">
        <v>14</v>
      </c>
      <c r="C540" s="2">
        <v>43412</v>
      </c>
      <c r="D540">
        <v>695956</v>
      </c>
      <c r="E540">
        <v>6208568</v>
      </c>
      <c r="F540">
        <v>1</v>
      </c>
      <c r="G540">
        <v>6</v>
      </c>
      <c r="H540">
        <v>30</v>
      </c>
      <c r="I540">
        <v>48</v>
      </c>
      <c r="J540" t="str">
        <f>_xlfn.TEXTJOIN("-",,H540,I540)</f>
        <v>30-48</v>
      </c>
      <c r="K540" t="s">
        <v>25</v>
      </c>
      <c r="L540" t="s">
        <v>16</v>
      </c>
      <c r="M540" s="3">
        <v>26</v>
      </c>
      <c r="N540" t="s">
        <v>26</v>
      </c>
    </row>
    <row r="541" spans="1:14" hidden="1" x14ac:dyDescent="0.2">
      <c r="A541" t="s">
        <v>18</v>
      </c>
      <c r="B541" t="s">
        <v>19</v>
      </c>
      <c r="C541" s="2">
        <v>43412</v>
      </c>
      <c r="D541">
        <v>692735</v>
      </c>
      <c r="E541">
        <v>6209960</v>
      </c>
      <c r="F541">
        <v>1</v>
      </c>
      <c r="G541">
        <v>1</v>
      </c>
      <c r="H541">
        <v>0</v>
      </c>
      <c r="I541">
        <v>2</v>
      </c>
      <c r="J541" t="str">
        <f>_xlfn.TEXTJOIN("-",,H541,I541)</f>
        <v>0-2</v>
      </c>
      <c r="K541" t="s">
        <v>25</v>
      </c>
      <c r="L541" t="s">
        <v>16</v>
      </c>
      <c r="M541" s="3">
        <v>41.1</v>
      </c>
      <c r="N541" t="s">
        <v>26</v>
      </c>
    </row>
    <row r="542" spans="1:14" x14ac:dyDescent="0.2">
      <c r="A542" t="s">
        <v>21</v>
      </c>
      <c r="B542" t="s">
        <v>14</v>
      </c>
      <c r="C542" s="2">
        <v>41954</v>
      </c>
      <c r="D542">
        <v>694929</v>
      </c>
      <c r="E542">
        <v>6209746</v>
      </c>
      <c r="F542">
        <v>1</v>
      </c>
      <c r="G542">
        <v>3</v>
      </c>
      <c r="H542">
        <v>5</v>
      </c>
      <c r="I542">
        <v>10</v>
      </c>
      <c r="J542" t="str">
        <f>_xlfn.TEXTJOIN("-",,H542,I542)</f>
        <v>5-10</v>
      </c>
      <c r="K542" t="s">
        <v>27</v>
      </c>
      <c r="L542" t="s">
        <v>16</v>
      </c>
      <c r="M542" s="3">
        <v>1.7000000807456701</v>
      </c>
      <c r="N542" t="s">
        <v>17</v>
      </c>
    </row>
    <row r="543" spans="1:14" hidden="1" x14ac:dyDescent="0.2">
      <c r="A543" t="s">
        <v>21</v>
      </c>
      <c r="B543" t="s">
        <v>14</v>
      </c>
      <c r="C543" s="2">
        <v>43412</v>
      </c>
      <c r="D543">
        <v>694929</v>
      </c>
      <c r="E543">
        <v>6209746</v>
      </c>
      <c r="F543">
        <v>1</v>
      </c>
      <c r="G543">
        <v>1</v>
      </c>
      <c r="H543">
        <v>0</v>
      </c>
      <c r="I543">
        <v>2</v>
      </c>
      <c r="J543" t="str">
        <f>_xlfn.TEXTJOIN("-",,H543,I543)</f>
        <v>0-2</v>
      </c>
      <c r="K543" t="s">
        <v>22</v>
      </c>
      <c r="L543" t="s">
        <v>16</v>
      </c>
      <c r="M543" s="3">
        <v>3</v>
      </c>
      <c r="N543" t="s">
        <v>23</v>
      </c>
    </row>
    <row r="544" spans="1:14" x14ac:dyDescent="0.2">
      <c r="A544" t="s">
        <v>13</v>
      </c>
      <c r="B544" t="s">
        <v>14</v>
      </c>
      <c r="C544" s="2">
        <v>41954</v>
      </c>
      <c r="D544">
        <v>695956</v>
      </c>
      <c r="E544">
        <v>6208568</v>
      </c>
      <c r="F544">
        <v>1</v>
      </c>
      <c r="G544">
        <v>3</v>
      </c>
      <c r="H544">
        <v>5</v>
      </c>
      <c r="I544">
        <v>10</v>
      </c>
      <c r="J544" t="str">
        <f>_xlfn.TEXTJOIN("-",,H544,I544)</f>
        <v>5-10</v>
      </c>
      <c r="K544" t="s">
        <v>27</v>
      </c>
      <c r="L544" t="s">
        <v>16</v>
      </c>
      <c r="M544" s="3">
        <v>1.5000000712461801</v>
      </c>
      <c r="N544" t="s">
        <v>17</v>
      </c>
    </row>
    <row r="545" spans="1:14" x14ac:dyDescent="0.2">
      <c r="A545" t="s">
        <v>18</v>
      </c>
      <c r="B545" t="s">
        <v>19</v>
      </c>
      <c r="C545" s="2">
        <v>41954</v>
      </c>
      <c r="D545">
        <v>692735</v>
      </c>
      <c r="E545">
        <v>6209960</v>
      </c>
      <c r="F545">
        <v>1</v>
      </c>
      <c r="G545">
        <v>3</v>
      </c>
      <c r="H545">
        <v>5</v>
      </c>
      <c r="I545">
        <v>10</v>
      </c>
      <c r="J545" t="str">
        <f>_xlfn.TEXTJOIN("-",,H545,I545)</f>
        <v>5-10</v>
      </c>
      <c r="K545" t="s">
        <v>27</v>
      </c>
      <c r="L545" t="s">
        <v>16</v>
      </c>
      <c r="M545" s="3">
        <v>1.6000000759959201</v>
      </c>
      <c r="N545" t="s">
        <v>17</v>
      </c>
    </row>
    <row r="546" spans="1:14" hidden="1" x14ac:dyDescent="0.2">
      <c r="A546" t="s">
        <v>18</v>
      </c>
      <c r="B546" t="s">
        <v>19</v>
      </c>
      <c r="C546" s="2">
        <v>43412</v>
      </c>
      <c r="D546">
        <v>692735</v>
      </c>
      <c r="E546">
        <v>6209960</v>
      </c>
      <c r="F546">
        <v>1</v>
      </c>
      <c r="G546">
        <v>2</v>
      </c>
      <c r="H546">
        <v>2</v>
      </c>
      <c r="I546">
        <v>5</v>
      </c>
      <c r="J546" t="str">
        <f>_xlfn.TEXTJOIN("-",,H546,I546)</f>
        <v>2-5</v>
      </c>
      <c r="K546" t="s">
        <v>25</v>
      </c>
      <c r="L546" t="s">
        <v>16</v>
      </c>
      <c r="M546" s="3">
        <v>40.700000000000003</v>
      </c>
      <c r="N546" t="s">
        <v>26</v>
      </c>
    </row>
    <row r="547" spans="1:14" hidden="1" x14ac:dyDescent="0.2">
      <c r="A547" t="s">
        <v>13</v>
      </c>
      <c r="B547" t="s">
        <v>14</v>
      </c>
      <c r="C547" s="2">
        <v>43412</v>
      </c>
      <c r="D547">
        <v>695956</v>
      </c>
      <c r="E547">
        <v>6208568</v>
      </c>
      <c r="F547">
        <v>1</v>
      </c>
      <c r="G547">
        <v>4</v>
      </c>
      <c r="H547">
        <v>10</v>
      </c>
      <c r="I547">
        <v>20</v>
      </c>
      <c r="J547" t="str">
        <f>_xlfn.TEXTJOIN("-",,H547,I547)</f>
        <v>10-20</v>
      </c>
      <c r="K547" t="s">
        <v>25</v>
      </c>
      <c r="L547" t="s">
        <v>16</v>
      </c>
      <c r="M547" s="3">
        <v>27.3</v>
      </c>
      <c r="N547" t="s">
        <v>26</v>
      </c>
    </row>
    <row r="548" spans="1:14" hidden="1" x14ac:dyDescent="0.2">
      <c r="A548" t="s">
        <v>13</v>
      </c>
      <c r="B548" t="s">
        <v>14</v>
      </c>
      <c r="C548" s="2">
        <v>43412</v>
      </c>
      <c r="D548">
        <v>695956</v>
      </c>
      <c r="E548">
        <v>6208568</v>
      </c>
      <c r="F548">
        <v>1</v>
      </c>
      <c r="G548">
        <v>4</v>
      </c>
      <c r="H548">
        <v>10</v>
      </c>
      <c r="I548">
        <v>20</v>
      </c>
      <c r="J548" t="str">
        <f>_xlfn.TEXTJOIN("-",,H548,I548)</f>
        <v>10-20</v>
      </c>
      <c r="K548" t="s">
        <v>22</v>
      </c>
      <c r="L548" t="s">
        <v>16</v>
      </c>
      <c r="M548" s="3">
        <v>9.3000000000000007</v>
      </c>
      <c r="N548" t="s">
        <v>23</v>
      </c>
    </row>
    <row r="549" spans="1:14" hidden="1" x14ac:dyDescent="0.2">
      <c r="A549" t="s">
        <v>18</v>
      </c>
      <c r="B549" t="s">
        <v>19</v>
      </c>
      <c r="C549" s="2">
        <v>43412</v>
      </c>
      <c r="D549">
        <v>692735</v>
      </c>
      <c r="E549">
        <v>6209960</v>
      </c>
      <c r="F549">
        <v>1</v>
      </c>
      <c r="G549">
        <v>3</v>
      </c>
      <c r="H549">
        <v>5</v>
      </c>
      <c r="I549">
        <v>10</v>
      </c>
      <c r="J549" t="str">
        <f>_xlfn.TEXTJOIN("-",,H549,I549)</f>
        <v>5-10</v>
      </c>
      <c r="K549" t="s">
        <v>15</v>
      </c>
      <c r="L549" t="s">
        <v>16</v>
      </c>
      <c r="M549" s="3">
        <v>15.0000007124618</v>
      </c>
      <c r="N549" t="s">
        <v>17</v>
      </c>
    </row>
    <row r="550" spans="1:14" x14ac:dyDescent="0.2">
      <c r="A550" t="s">
        <v>13</v>
      </c>
      <c r="B550" t="s">
        <v>14</v>
      </c>
      <c r="C550" s="2">
        <v>43412</v>
      </c>
      <c r="D550">
        <v>695956</v>
      </c>
      <c r="E550">
        <v>6208568</v>
      </c>
      <c r="F550">
        <v>1</v>
      </c>
      <c r="G550">
        <v>3</v>
      </c>
      <c r="H550">
        <v>5</v>
      </c>
      <c r="I550">
        <v>10</v>
      </c>
      <c r="J550" t="str">
        <f>_xlfn.TEXTJOIN("-",,H550,I550)</f>
        <v>5-10</v>
      </c>
      <c r="K550" t="s">
        <v>27</v>
      </c>
      <c r="L550" t="s">
        <v>16</v>
      </c>
      <c r="M550" s="3">
        <v>2.2000001044943902</v>
      </c>
      <c r="N550" t="s">
        <v>17</v>
      </c>
    </row>
    <row r="551" spans="1:14" hidden="1" x14ac:dyDescent="0.2">
      <c r="A551" t="s">
        <v>13</v>
      </c>
      <c r="B551" t="s">
        <v>14</v>
      </c>
      <c r="C551" s="2">
        <v>43412</v>
      </c>
      <c r="D551">
        <v>695956</v>
      </c>
      <c r="E551">
        <v>6208568</v>
      </c>
      <c r="F551">
        <v>1</v>
      </c>
      <c r="G551">
        <v>1</v>
      </c>
      <c r="H551">
        <v>0</v>
      </c>
      <c r="I551">
        <v>2</v>
      </c>
      <c r="J551" t="str">
        <f>_xlfn.TEXTJOIN("-",,H551,I551)</f>
        <v>0-2</v>
      </c>
      <c r="K551" t="s">
        <v>22</v>
      </c>
      <c r="L551" t="s">
        <v>16</v>
      </c>
      <c r="M551" s="3">
        <v>3.3</v>
      </c>
      <c r="N551" t="s">
        <v>23</v>
      </c>
    </row>
    <row r="552" spans="1:14" hidden="1" x14ac:dyDescent="0.2">
      <c r="A552" t="s">
        <v>13</v>
      </c>
      <c r="B552" t="s">
        <v>14</v>
      </c>
      <c r="C552" s="2">
        <v>43412</v>
      </c>
      <c r="D552">
        <v>695956</v>
      </c>
      <c r="E552">
        <v>6208568</v>
      </c>
      <c r="F552">
        <v>1</v>
      </c>
      <c r="G552">
        <v>3</v>
      </c>
      <c r="H552">
        <v>5</v>
      </c>
      <c r="I552">
        <v>10</v>
      </c>
      <c r="J552" t="str">
        <f>_xlfn.TEXTJOIN("-",,H552,I552)</f>
        <v>5-10</v>
      </c>
      <c r="K552" t="s">
        <v>15</v>
      </c>
      <c r="L552" t="s">
        <v>16</v>
      </c>
      <c r="M552" s="3">
        <v>12.0000005699694</v>
      </c>
      <c r="N552" t="s">
        <v>17</v>
      </c>
    </row>
    <row r="553" spans="1:14" hidden="1" x14ac:dyDescent="0.2">
      <c r="A553" t="s">
        <v>21</v>
      </c>
      <c r="B553" t="s">
        <v>14</v>
      </c>
      <c r="C553" s="2">
        <v>43412</v>
      </c>
      <c r="D553">
        <v>694929</v>
      </c>
      <c r="E553">
        <v>6209746</v>
      </c>
      <c r="F553">
        <v>1</v>
      </c>
      <c r="G553">
        <v>5</v>
      </c>
      <c r="H553">
        <v>20</v>
      </c>
      <c r="I553">
        <v>30</v>
      </c>
      <c r="J553" t="str">
        <f>_xlfn.TEXTJOIN("-",,H553,I553)</f>
        <v>20-30</v>
      </c>
      <c r="K553" t="s">
        <v>27</v>
      </c>
      <c r="L553" t="s">
        <v>16</v>
      </c>
      <c r="M553" s="3">
        <v>1.20000005699694</v>
      </c>
      <c r="N553" t="s">
        <v>17</v>
      </c>
    </row>
    <row r="554" spans="1:14" hidden="1" x14ac:dyDescent="0.2">
      <c r="A554" t="s">
        <v>13</v>
      </c>
      <c r="B554" t="s">
        <v>14</v>
      </c>
      <c r="C554" s="2">
        <v>43412</v>
      </c>
      <c r="D554">
        <v>695956</v>
      </c>
      <c r="E554">
        <v>6208568</v>
      </c>
      <c r="F554">
        <v>1</v>
      </c>
      <c r="G554">
        <v>5</v>
      </c>
      <c r="H554">
        <v>20</v>
      </c>
      <c r="I554">
        <v>30</v>
      </c>
      <c r="J554" t="str">
        <f>_xlfn.TEXTJOIN("-",,H554,I554)</f>
        <v>20-30</v>
      </c>
      <c r="K554" t="s">
        <v>27</v>
      </c>
      <c r="L554" t="s">
        <v>16</v>
      </c>
      <c r="M554" s="3">
        <v>0.73000003467313901</v>
      </c>
      <c r="N554" t="s">
        <v>17</v>
      </c>
    </row>
    <row r="555" spans="1:14" hidden="1" x14ac:dyDescent="0.2">
      <c r="A555" t="s">
        <v>21</v>
      </c>
      <c r="B555" t="s">
        <v>14</v>
      </c>
      <c r="C555" s="2">
        <v>43412</v>
      </c>
      <c r="D555">
        <v>694929</v>
      </c>
      <c r="E555">
        <v>6209746</v>
      </c>
      <c r="F555">
        <v>1</v>
      </c>
      <c r="G555">
        <v>4</v>
      </c>
      <c r="H555">
        <v>10</v>
      </c>
      <c r="I555">
        <v>20</v>
      </c>
      <c r="J555" t="str">
        <f>_xlfn.TEXTJOIN("-",,H555,I555)</f>
        <v>10-20</v>
      </c>
      <c r="K555" t="s">
        <v>27</v>
      </c>
      <c r="L555" t="s">
        <v>16</v>
      </c>
      <c r="M555" s="3">
        <v>1.9000000902451599</v>
      </c>
      <c r="N555" t="s">
        <v>17</v>
      </c>
    </row>
    <row r="556" spans="1:14" hidden="1" x14ac:dyDescent="0.2">
      <c r="A556" t="s">
        <v>21</v>
      </c>
      <c r="B556" t="s">
        <v>14</v>
      </c>
      <c r="C556" s="2">
        <v>43412</v>
      </c>
      <c r="D556">
        <v>694929</v>
      </c>
      <c r="E556">
        <v>6209746</v>
      </c>
      <c r="F556">
        <v>1</v>
      </c>
      <c r="G556">
        <v>4</v>
      </c>
      <c r="H556">
        <v>10</v>
      </c>
      <c r="I556">
        <v>20</v>
      </c>
      <c r="J556" t="str">
        <f>_xlfn.TEXTJOIN("-",,H556,I556)</f>
        <v>10-20</v>
      </c>
      <c r="K556" t="s">
        <v>15</v>
      </c>
      <c r="L556" t="s">
        <v>16</v>
      </c>
      <c r="M556" s="3">
        <v>13.000000617466901</v>
      </c>
      <c r="N556" t="s">
        <v>17</v>
      </c>
    </row>
    <row r="557" spans="1:14" hidden="1" x14ac:dyDescent="0.2">
      <c r="A557" t="s">
        <v>21</v>
      </c>
      <c r="B557" t="s">
        <v>14</v>
      </c>
      <c r="C557" s="2">
        <v>43412</v>
      </c>
      <c r="D557">
        <v>694929</v>
      </c>
      <c r="E557">
        <v>6209746</v>
      </c>
      <c r="F557">
        <v>1</v>
      </c>
      <c r="G557">
        <v>1</v>
      </c>
      <c r="H557">
        <v>0</v>
      </c>
      <c r="I557">
        <v>2</v>
      </c>
      <c r="J557" t="str">
        <f>_xlfn.TEXTJOIN("-",,H557,I557)</f>
        <v>0-2</v>
      </c>
      <c r="K557" t="s">
        <v>25</v>
      </c>
      <c r="L557" t="s">
        <v>16</v>
      </c>
      <c r="M557" s="3">
        <v>31.4</v>
      </c>
      <c r="N557" t="s">
        <v>26</v>
      </c>
    </row>
    <row r="558" spans="1:14" hidden="1" x14ac:dyDescent="0.2">
      <c r="A558" t="s">
        <v>21</v>
      </c>
      <c r="B558" t="s">
        <v>14</v>
      </c>
      <c r="C558" s="2">
        <v>43412</v>
      </c>
      <c r="D558">
        <v>694929</v>
      </c>
      <c r="E558">
        <v>6209746</v>
      </c>
      <c r="F558">
        <v>1</v>
      </c>
      <c r="G558">
        <v>5</v>
      </c>
      <c r="H558">
        <v>20</v>
      </c>
      <c r="I558">
        <v>30</v>
      </c>
      <c r="J558" t="str">
        <f>_xlfn.TEXTJOIN("-",,H558,I558)</f>
        <v>20-30</v>
      </c>
      <c r="K558" t="s">
        <v>25</v>
      </c>
      <c r="L558" t="s">
        <v>16</v>
      </c>
      <c r="M558" s="3">
        <v>38.700000000000003</v>
      </c>
      <c r="N558" t="s">
        <v>26</v>
      </c>
    </row>
    <row r="559" spans="1:14" x14ac:dyDescent="0.2">
      <c r="A559" t="s">
        <v>21</v>
      </c>
      <c r="B559" t="s">
        <v>14</v>
      </c>
      <c r="C559" s="2">
        <v>43412</v>
      </c>
      <c r="D559">
        <v>694929</v>
      </c>
      <c r="E559">
        <v>6209746</v>
      </c>
      <c r="F559">
        <v>1</v>
      </c>
      <c r="G559">
        <v>3</v>
      </c>
      <c r="H559">
        <v>5</v>
      </c>
      <c r="I559">
        <v>10</v>
      </c>
      <c r="J559" t="str">
        <f>_xlfn.TEXTJOIN("-",,H559,I559)</f>
        <v>5-10</v>
      </c>
      <c r="K559" t="s">
        <v>27</v>
      </c>
      <c r="L559" t="s">
        <v>16</v>
      </c>
      <c r="M559" s="3">
        <v>1.7000000807456701</v>
      </c>
      <c r="N559" t="s">
        <v>17</v>
      </c>
    </row>
    <row r="560" spans="1:14" hidden="1" x14ac:dyDescent="0.2">
      <c r="A560" t="s">
        <v>21</v>
      </c>
      <c r="B560" t="s">
        <v>14</v>
      </c>
      <c r="C560" s="2">
        <v>43412</v>
      </c>
      <c r="D560">
        <v>694929</v>
      </c>
      <c r="E560">
        <v>6209746</v>
      </c>
      <c r="F560">
        <v>1</v>
      </c>
      <c r="G560">
        <v>5</v>
      </c>
      <c r="H560">
        <v>20</v>
      </c>
      <c r="I560">
        <v>30</v>
      </c>
      <c r="J560" t="str">
        <f>_xlfn.TEXTJOIN("-",,H560,I560)</f>
        <v>20-30</v>
      </c>
      <c r="K560" t="s">
        <v>22</v>
      </c>
      <c r="L560" t="s">
        <v>16</v>
      </c>
      <c r="M560" s="3">
        <v>9.4</v>
      </c>
      <c r="N560" t="s">
        <v>23</v>
      </c>
    </row>
    <row r="561" spans="1:14" hidden="1" x14ac:dyDescent="0.2">
      <c r="A561" t="s">
        <v>18</v>
      </c>
      <c r="B561" t="s">
        <v>19</v>
      </c>
      <c r="C561" s="2">
        <v>43412</v>
      </c>
      <c r="D561">
        <v>692735</v>
      </c>
      <c r="E561">
        <v>6209960</v>
      </c>
      <c r="F561">
        <v>1</v>
      </c>
      <c r="G561">
        <v>5</v>
      </c>
      <c r="H561">
        <v>20</v>
      </c>
      <c r="I561">
        <v>30</v>
      </c>
      <c r="J561" t="str">
        <f>_xlfn.TEXTJOIN("-",,H561,I561)</f>
        <v>20-30</v>
      </c>
      <c r="K561" t="s">
        <v>27</v>
      </c>
      <c r="L561" t="s">
        <v>16</v>
      </c>
      <c r="M561" s="3">
        <v>1.7000000807456701</v>
      </c>
      <c r="N561" t="s">
        <v>17</v>
      </c>
    </row>
    <row r="562" spans="1:14" hidden="1" x14ac:dyDescent="0.2">
      <c r="A562" t="s">
        <v>21</v>
      </c>
      <c r="B562" t="s">
        <v>14</v>
      </c>
      <c r="C562" s="2">
        <v>43412</v>
      </c>
      <c r="D562">
        <v>694929</v>
      </c>
      <c r="E562">
        <v>6209746</v>
      </c>
      <c r="F562">
        <v>1</v>
      </c>
      <c r="G562">
        <v>3</v>
      </c>
      <c r="H562">
        <v>5</v>
      </c>
      <c r="I562">
        <v>10</v>
      </c>
      <c r="J562" t="str">
        <f>_xlfn.TEXTJOIN("-",,H562,I562)</f>
        <v>5-10</v>
      </c>
      <c r="K562" t="s">
        <v>25</v>
      </c>
      <c r="L562" t="s">
        <v>16</v>
      </c>
      <c r="M562" s="3">
        <v>36.6</v>
      </c>
      <c r="N562" t="s">
        <v>26</v>
      </c>
    </row>
    <row r="563" spans="1:14" x14ac:dyDescent="0.2">
      <c r="A563" t="s">
        <v>18</v>
      </c>
      <c r="B563" t="s">
        <v>19</v>
      </c>
      <c r="C563" s="2">
        <v>43412</v>
      </c>
      <c r="D563">
        <v>692735</v>
      </c>
      <c r="E563">
        <v>6209960</v>
      </c>
      <c r="F563">
        <v>1</v>
      </c>
      <c r="G563">
        <v>3</v>
      </c>
      <c r="H563">
        <v>5</v>
      </c>
      <c r="I563">
        <v>10</v>
      </c>
      <c r="J563" t="str">
        <f>_xlfn.TEXTJOIN("-",,H563,I563)</f>
        <v>5-10</v>
      </c>
      <c r="K563" t="s">
        <v>27</v>
      </c>
      <c r="L563" t="s">
        <v>16</v>
      </c>
      <c r="M563" s="3">
        <v>1.7000000807456701</v>
      </c>
      <c r="N563" t="s">
        <v>17</v>
      </c>
    </row>
    <row r="564" spans="1:14" hidden="1" x14ac:dyDescent="0.2">
      <c r="A564" t="s">
        <v>21</v>
      </c>
      <c r="B564" t="s">
        <v>14</v>
      </c>
      <c r="C564" s="2">
        <v>43412</v>
      </c>
      <c r="D564">
        <v>694929</v>
      </c>
      <c r="E564">
        <v>6209746</v>
      </c>
      <c r="F564">
        <v>1</v>
      </c>
      <c r="G564">
        <v>6</v>
      </c>
      <c r="H564">
        <v>30</v>
      </c>
      <c r="I564">
        <v>50</v>
      </c>
      <c r="J564" t="str">
        <f>_xlfn.TEXTJOIN("-",,H564,I564)</f>
        <v>30-50</v>
      </c>
      <c r="K564" t="s">
        <v>27</v>
      </c>
      <c r="L564" t="s">
        <v>16</v>
      </c>
      <c r="M564" s="3">
        <v>0.79000003752298598</v>
      </c>
      <c r="N564" t="s">
        <v>17</v>
      </c>
    </row>
    <row r="565" spans="1:14" hidden="1" x14ac:dyDescent="0.2">
      <c r="A565" t="s">
        <v>13</v>
      </c>
      <c r="B565" t="s">
        <v>14</v>
      </c>
      <c r="C565" s="2">
        <v>43412</v>
      </c>
      <c r="D565">
        <v>695956</v>
      </c>
      <c r="E565">
        <v>6208568</v>
      </c>
      <c r="F565">
        <v>1</v>
      </c>
      <c r="G565">
        <v>2</v>
      </c>
      <c r="H565">
        <v>2</v>
      </c>
      <c r="I565">
        <v>5</v>
      </c>
      <c r="J565" t="str">
        <f>_xlfn.TEXTJOIN("-",,H565,I565)</f>
        <v>2-5</v>
      </c>
      <c r="K565" t="s">
        <v>22</v>
      </c>
      <c r="L565" t="s">
        <v>16</v>
      </c>
      <c r="M565" s="3">
        <v>5.7</v>
      </c>
      <c r="N565" t="s">
        <v>23</v>
      </c>
    </row>
    <row r="566" spans="1:14" hidden="1" x14ac:dyDescent="0.2">
      <c r="A566" t="s">
        <v>18</v>
      </c>
      <c r="B566" t="s">
        <v>19</v>
      </c>
      <c r="C566" s="2">
        <v>43412</v>
      </c>
      <c r="D566">
        <v>692735</v>
      </c>
      <c r="E566">
        <v>6209960</v>
      </c>
      <c r="F566">
        <v>1</v>
      </c>
      <c r="G566">
        <v>1</v>
      </c>
      <c r="H566">
        <v>0</v>
      </c>
      <c r="I566">
        <v>2</v>
      </c>
      <c r="J566" t="str">
        <f>_xlfn.TEXTJOIN("-",,H566,I566)</f>
        <v>0-2</v>
      </c>
      <c r="K566" t="s">
        <v>15</v>
      </c>
      <c r="L566" t="s">
        <v>16</v>
      </c>
      <c r="M566" s="3">
        <v>8.5000004037283396</v>
      </c>
      <c r="N566" t="s">
        <v>17</v>
      </c>
    </row>
    <row r="567" spans="1:14" hidden="1" x14ac:dyDescent="0.2">
      <c r="A567" t="s">
        <v>18</v>
      </c>
      <c r="B567" t="s">
        <v>19</v>
      </c>
      <c r="C567" s="2">
        <v>43412</v>
      </c>
      <c r="D567">
        <v>692735</v>
      </c>
      <c r="E567">
        <v>6209960</v>
      </c>
      <c r="F567">
        <v>1</v>
      </c>
      <c r="G567">
        <v>2</v>
      </c>
      <c r="H567">
        <v>2</v>
      </c>
      <c r="I567">
        <v>5</v>
      </c>
      <c r="J567" t="str">
        <f>_xlfn.TEXTJOIN("-",,H567,I567)</f>
        <v>2-5</v>
      </c>
      <c r="K567" t="s">
        <v>22</v>
      </c>
      <c r="L567" t="s">
        <v>16</v>
      </c>
      <c r="M567" s="3">
        <v>4.5</v>
      </c>
      <c r="N567" t="s">
        <v>23</v>
      </c>
    </row>
    <row r="568" spans="1:14" hidden="1" x14ac:dyDescent="0.2">
      <c r="A568" t="s">
        <v>21</v>
      </c>
      <c r="B568" t="s">
        <v>14</v>
      </c>
      <c r="C568" s="2">
        <v>34330</v>
      </c>
      <c r="D568">
        <v>694929</v>
      </c>
      <c r="E568">
        <v>6209746</v>
      </c>
      <c r="F568">
        <v>1</v>
      </c>
      <c r="G568">
        <v>3</v>
      </c>
      <c r="H568">
        <v>5</v>
      </c>
      <c r="I568">
        <v>8</v>
      </c>
      <c r="J568" t="str">
        <f>_xlfn.TEXTJOIN("-",,H568,I568)</f>
        <v>5-8</v>
      </c>
      <c r="K568" t="s">
        <v>24</v>
      </c>
      <c r="L568" t="s">
        <v>16</v>
      </c>
      <c r="M568" s="3">
        <v>0.25000001187436299</v>
      </c>
      <c r="N568" t="s">
        <v>17</v>
      </c>
    </row>
    <row r="569" spans="1:14" hidden="1" x14ac:dyDescent="0.2">
      <c r="A569" t="s">
        <v>13</v>
      </c>
      <c r="B569" t="s">
        <v>14</v>
      </c>
      <c r="C569" s="2">
        <v>43412</v>
      </c>
      <c r="D569">
        <v>695956</v>
      </c>
      <c r="E569">
        <v>6208568</v>
      </c>
      <c r="F569">
        <v>1</v>
      </c>
      <c r="G569">
        <v>1</v>
      </c>
      <c r="H569">
        <v>0</v>
      </c>
      <c r="I569">
        <v>2</v>
      </c>
      <c r="J569" t="str">
        <f>_xlfn.TEXTJOIN("-",,H569,I569)</f>
        <v>0-2</v>
      </c>
      <c r="K569" t="s">
        <v>25</v>
      </c>
      <c r="L569" t="s">
        <v>16</v>
      </c>
      <c r="M569" s="3">
        <v>35.6</v>
      </c>
      <c r="N569" t="s">
        <v>26</v>
      </c>
    </row>
    <row r="570" spans="1:14" hidden="1" x14ac:dyDescent="0.2">
      <c r="A570" t="s">
        <v>18</v>
      </c>
      <c r="B570" t="s">
        <v>19</v>
      </c>
      <c r="C570" s="2">
        <v>43412</v>
      </c>
      <c r="D570">
        <v>692735</v>
      </c>
      <c r="E570">
        <v>6209960</v>
      </c>
      <c r="F570">
        <v>1</v>
      </c>
      <c r="G570">
        <v>6</v>
      </c>
      <c r="H570">
        <v>30</v>
      </c>
      <c r="I570">
        <v>49</v>
      </c>
      <c r="J570" t="str">
        <f>_xlfn.TEXTJOIN("-",,H570,I570)</f>
        <v>30-49</v>
      </c>
      <c r="K570" t="s">
        <v>15</v>
      </c>
      <c r="L570" t="s">
        <v>16</v>
      </c>
      <c r="M570" s="3">
        <v>18.000000854954099</v>
      </c>
      <c r="N570" t="s">
        <v>17</v>
      </c>
    </row>
    <row r="571" spans="1:14" hidden="1" x14ac:dyDescent="0.2">
      <c r="A571" t="s">
        <v>18</v>
      </c>
      <c r="B571" t="s">
        <v>19</v>
      </c>
      <c r="C571" s="2">
        <v>43412</v>
      </c>
      <c r="D571">
        <v>692735</v>
      </c>
      <c r="E571">
        <v>6209960</v>
      </c>
      <c r="F571">
        <v>1</v>
      </c>
      <c r="G571">
        <v>6</v>
      </c>
      <c r="H571">
        <v>30</v>
      </c>
      <c r="I571">
        <v>49</v>
      </c>
      <c r="J571" t="str">
        <f>_xlfn.TEXTJOIN("-",,H571,I571)</f>
        <v>30-49</v>
      </c>
      <c r="K571" t="s">
        <v>27</v>
      </c>
      <c r="L571" t="s">
        <v>16</v>
      </c>
      <c r="M571" s="3">
        <v>0.76000003609806299</v>
      </c>
      <c r="N571" t="s">
        <v>17</v>
      </c>
    </row>
    <row r="572" spans="1:14" x14ac:dyDescent="0.2">
      <c r="A572" t="s">
        <v>21</v>
      </c>
      <c r="B572" t="s">
        <v>14</v>
      </c>
      <c r="C572" s="2">
        <v>34330</v>
      </c>
      <c r="D572">
        <v>694929</v>
      </c>
      <c r="E572">
        <v>6209746</v>
      </c>
      <c r="F572">
        <v>1</v>
      </c>
      <c r="G572">
        <v>3</v>
      </c>
      <c r="H572">
        <v>5</v>
      </c>
      <c r="I572">
        <v>8</v>
      </c>
      <c r="J572" t="str">
        <f>_xlfn.TEXTJOIN("-",,H572,I572)</f>
        <v>5-8</v>
      </c>
      <c r="K572" t="s">
        <v>27</v>
      </c>
      <c r="L572" t="s">
        <v>16</v>
      </c>
      <c r="M572" s="3">
        <v>0.59400002821348596</v>
      </c>
      <c r="N572" t="s">
        <v>17</v>
      </c>
    </row>
    <row r="573" spans="1:14" hidden="1" x14ac:dyDescent="0.2">
      <c r="A573" t="s">
        <v>21</v>
      </c>
      <c r="B573" t="s">
        <v>14</v>
      </c>
      <c r="C573" s="2">
        <v>43412</v>
      </c>
      <c r="D573">
        <v>694929</v>
      </c>
      <c r="E573">
        <v>6209746</v>
      </c>
      <c r="F573">
        <v>1</v>
      </c>
      <c r="G573">
        <v>6</v>
      </c>
      <c r="H573">
        <v>30</v>
      </c>
      <c r="I573">
        <v>50</v>
      </c>
      <c r="J573" t="str">
        <f>_xlfn.TEXTJOIN("-",,H573,I573)</f>
        <v>30-50</v>
      </c>
      <c r="K573" t="s">
        <v>25</v>
      </c>
      <c r="L573" t="s">
        <v>16</v>
      </c>
      <c r="M573" s="3">
        <v>22.3</v>
      </c>
      <c r="N573" t="s">
        <v>26</v>
      </c>
    </row>
    <row r="574" spans="1:14" hidden="1" x14ac:dyDescent="0.2">
      <c r="A574" t="s">
        <v>13</v>
      </c>
      <c r="B574" t="s">
        <v>14</v>
      </c>
      <c r="C574" s="2">
        <v>43412</v>
      </c>
      <c r="D574">
        <v>695956</v>
      </c>
      <c r="E574">
        <v>6208568</v>
      </c>
      <c r="F574">
        <v>1</v>
      </c>
      <c r="G574">
        <v>3</v>
      </c>
      <c r="H574">
        <v>5</v>
      </c>
      <c r="I574">
        <v>10</v>
      </c>
      <c r="J574" t="str">
        <f>_xlfn.TEXTJOIN("-",,H574,I574)</f>
        <v>5-10</v>
      </c>
      <c r="K574" t="s">
        <v>22</v>
      </c>
      <c r="L574" t="s">
        <v>16</v>
      </c>
      <c r="M574" s="3">
        <v>7.2</v>
      </c>
      <c r="N574" t="s">
        <v>23</v>
      </c>
    </row>
    <row r="575" spans="1:14" hidden="1" x14ac:dyDescent="0.2">
      <c r="A575" t="s">
        <v>21</v>
      </c>
      <c r="B575" t="s">
        <v>14</v>
      </c>
      <c r="C575" s="2">
        <v>43412</v>
      </c>
      <c r="D575">
        <v>694929</v>
      </c>
      <c r="E575">
        <v>6209746</v>
      </c>
      <c r="F575">
        <v>1</v>
      </c>
      <c r="G575">
        <v>2</v>
      </c>
      <c r="H575">
        <v>2</v>
      </c>
      <c r="I575">
        <v>5</v>
      </c>
      <c r="J575" t="str">
        <f>_xlfn.TEXTJOIN("-",,H575,I575)</f>
        <v>2-5</v>
      </c>
      <c r="K575" t="s">
        <v>22</v>
      </c>
      <c r="L575" t="s">
        <v>16</v>
      </c>
      <c r="M575" s="3">
        <v>4.3</v>
      </c>
      <c r="N575" t="s">
        <v>23</v>
      </c>
    </row>
    <row r="576" spans="1:14" hidden="1" x14ac:dyDescent="0.2">
      <c r="A576" t="s">
        <v>18</v>
      </c>
      <c r="B576" t="s">
        <v>19</v>
      </c>
      <c r="C576" s="2">
        <v>43412</v>
      </c>
      <c r="D576">
        <v>692735</v>
      </c>
      <c r="E576">
        <v>6209960</v>
      </c>
      <c r="F576">
        <v>1</v>
      </c>
      <c r="G576">
        <v>4</v>
      </c>
      <c r="H576">
        <v>10</v>
      </c>
      <c r="I576">
        <v>20</v>
      </c>
      <c r="J576" t="str">
        <f>_xlfn.TEXTJOIN("-",,H576,I576)</f>
        <v>10-20</v>
      </c>
      <c r="K576" t="s">
        <v>15</v>
      </c>
      <c r="L576" t="s">
        <v>16</v>
      </c>
      <c r="M576" s="3">
        <v>7.6000003609806299</v>
      </c>
      <c r="N576" t="s">
        <v>17</v>
      </c>
    </row>
    <row r="577" spans="1:14" hidden="1" x14ac:dyDescent="0.2">
      <c r="A577" t="s">
        <v>21</v>
      </c>
      <c r="B577" t="s">
        <v>14</v>
      </c>
      <c r="C577" s="2">
        <v>43412</v>
      </c>
      <c r="D577">
        <v>694929</v>
      </c>
      <c r="E577">
        <v>6209746</v>
      </c>
      <c r="F577">
        <v>1</v>
      </c>
      <c r="G577">
        <v>2</v>
      </c>
      <c r="H577">
        <v>2</v>
      </c>
      <c r="I577">
        <v>5</v>
      </c>
      <c r="J577" t="str">
        <f>_xlfn.TEXTJOIN("-",,H577,I577)</f>
        <v>2-5</v>
      </c>
      <c r="K577" t="s">
        <v>15</v>
      </c>
      <c r="L577" t="s">
        <v>16</v>
      </c>
      <c r="M577" s="3">
        <v>9.8000004654750192</v>
      </c>
      <c r="N577" t="s">
        <v>17</v>
      </c>
    </row>
    <row r="578" spans="1:14" hidden="1" x14ac:dyDescent="0.2">
      <c r="A578" t="s">
        <v>18</v>
      </c>
      <c r="B578" t="s">
        <v>19</v>
      </c>
      <c r="C578" s="2">
        <v>43412</v>
      </c>
      <c r="D578">
        <v>692735</v>
      </c>
      <c r="E578">
        <v>6209960</v>
      </c>
      <c r="F578">
        <v>1</v>
      </c>
      <c r="G578">
        <v>3</v>
      </c>
      <c r="H578">
        <v>5</v>
      </c>
      <c r="I578">
        <v>10</v>
      </c>
      <c r="J578" t="str">
        <f>_xlfn.TEXTJOIN("-",,H578,I578)</f>
        <v>5-10</v>
      </c>
      <c r="K578" t="s">
        <v>25</v>
      </c>
      <c r="L578" t="s">
        <v>16</v>
      </c>
      <c r="M578" s="3">
        <v>36.299999999999997</v>
      </c>
      <c r="N578" t="s">
        <v>26</v>
      </c>
    </row>
    <row r="579" spans="1:14" hidden="1" x14ac:dyDescent="0.2">
      <c r="A579" t="s">
        <v>18</v>
      </c>
      <c r="B579" t="s">
        <v>19</v>
      </c>
      <c r="C579" s="2">
        <v>43412</v>
      </c>
      <c r="D579">
        <v>692735</v>
      </c>
      <c r="E579">
        <v>6209960</v>
      </c>
      <c r="F579">
        <v>1</v>
      </c>
      <c r="G579">
        <v>3</v>
      </c>
      <c r="H579">
        <v>5</v>
      </c>
      <c r="I579">
        <v>10</v>
      </c>
      <c r="J579" t="str">
        <f>_xlfn.TEXTJOIN("-",,H579,I579)</f>
        <v>5-10</v>
      </c>
      <c r="K579" t="s">
        <v>22</v>
      </c>
      <c r="L579" t="s">
        <v>16</v>
      </c>
      <c r="M579" s="3">
        <v>6.5</v>
      </c>
      <c r="N579" t="s">
        <v>23</v>
      </c>
    </row>
    <row r="580" spans="1:14" hidden="1" x14ac:dyDescent="0.2">
      <c r="A580" t="s">
        <v>13</v>
      </c>
      <c r="B580" t="s">
        <v>14</v>
      </c>
      <c r="C580" s="2">
        <v>43412</v>
      </c>
      <c r="D580">
        <v>695956</v>
      </c>
      <c r="E580">
        <v>6208568</v>
      </c>
      <c r="F580">
        <v>1</v>
      </c>
      <c r="G580">
        <v>6</v>
      </c>
      <c r="H580">
        <v>30</v>
      </c>
      <c r="I580">
        <v>48</v>
      </c>
      <c r="J580" t="str">
        <f>_xlfn.TEXTJOIN("-",,H580,I580)</f>
        <v>30-48</v>
      </c>
      <c r="K580" t="s">
        <v>15</v>
      </c>
      <c r="L580" t="s">
        <v>16</v>
      </c>
      <c r="M580" s="3">
        <v>17.000000807456701</v>
      </c>
      <c r="N580" t="s">
        <v>17</v>
      </c>
    </row>
    <row r="581" spans="1:14" hidden="1" x14ac:dyDescent="0.2">
      <c r="A581" t="s">
        <v>13</v>
      </c>
      <c r="B581" t="s">
        <v>14</v>
      </c>
      <c r="C581" s="2">
        <v>43412</v>
      </c>
      <c r="D581">
        <v>695956</v>
      </c>
      <c r="E581">
        <v>6208568</v>
      </c>
      <c r="F581">
        <v>1</v>
      </c>
      <c r="G581">
        <v>4</v>
      </c>
      <c r="H581">
        <v>10</v>
      </c>
      <c r="I581">
        <v>20</v>
      </c>
      <c r="J581" t="str">
        <f>_xlfn.TEXTJOIN("-",,H581,I581)</f>
        <v>10-20</v>
      </c>
      <c r="K581" t="s">
        <v>27</v>
      </c>
      <c r="L581" t="s">
        <v>16</v>
      </c>
      <c r="M581" s="3">
        <v>1.20000005699694</v>
      </c>
      <c r="N581" t="s">
        <v>17</v>
      </c>
    </row>
    <row r="582" spans="1:14" hidden="1" x14ac:dyDescent="0.2">
      <c r="A582" t="s">
        <v>21</v>
      </c>
      <c r="B582" t="s">
        <v>14</v>
      </c>
      <c r="C582" s="2">
        <v>43412</v>
      </c>
      <c r="D582">
        <v>694929</v>
      </c>
      <c r="E582">
        <v>6209746</v>
      </c>
      <c r="F582">
        <v>1</v>
      </c>
      <c r="G582">
        <v>4</v>
      </c>
      <c r="H582">
        <v>10</v>
      </c>
      <c r="I582">
        <v>20</v>
      </c>
      <c r="J582" t="str">
        <f>_xlfn.TEXTJOIN("-",,H582,I582)</f>
        <v>10-20</v>
      </c>
      <c r="K582" t="s">
        <v>22</v>
      </c>
      <c r="L582" t="s">
        <v>16</v>
      </c>
      <c r="M582" s="3">
        <v>7.3</v>
      </c>
      <c r="N582" t="s">
        <v>23</v>
      </c>
    </row>
    <row r="583" spans="1:14" hidden="1" x14ac:dyDescent="0.2">
      <c r="A583" t="s">
        <v>21</v>
      </c>
      <c r="B583" t="s">
        <v>14</v>
      </c>
      <c r="C583" s="2">
        <v>43412</v>
      </c>
      <c r="D583">
        <v>694929</v>
      </c>
      <c r="E583">
        <v>6209746</v>
      </c>
      <c r="F583">
        <v>1</v>
      </c>
      <c r="G583">
        <v>6</v>
      </c>
      <c r="H583">
        <v>30</v>
      </c>
      <c r="I583">
        <v>50</v>
      </c>
      <c r="J583" t="str">
        <f>_xlfn.TEXTJOIN("-",,H583,I583)</f>
        <v>30-50</v>
      </c>
      <c r="K583" t="s">
        <v>15</v>
      </c>
      <c r="L583" t="s">
        <v>16</v>
      </c>
      <c r="M583" s="3">
        <v>18.000000854954099</v>
      </c>
      <c r="N583" t="s">
        <v>17</v>
      </c>
    </row>
    <row r="584" spans="1:14" hidden="1" x14ac:dyDescent="0.2">
      <c r="A584" t="s">
        <v>21</v>
      </c>
      <c r="B584" t="s">
        <v>14</v>
      </c>
      <c r="C584" s="2">
        <v>43412</v>
      </c>
      <c r="D584">
        <v>694929</v>
      </c>
      <c r="E584">
        <v>6209746</v>
      </c>
      <c r="F584">
        <v>1</v>
      </c>
      <c r="G584">
        <v>2</v>
      </c>
      <c r="H584">
        <v>2</v>
      </c>
      <c r="I584">
        <v>5</v>
      </c>
      <c r="J584" t="str">
        <f>_xlfn.TEXTJOIN("-",,H584,I584)</f>
        <v>2-5</v>
      </c>
      <c r="K584" t="s">
        <v>25</v>
      </c>
      <c r="L584" t="s">
        <v>16</v>
      </c>
      <c r="M584" s="3">
        <v>36.6</v>
      </c>
      <c r="N584" t="s">
        <v>26</v>
      </c>
    </row>
    <row r="585" spans="1:14" hidden="1" x14ac:dyDescent="0.2">
      <c r="A585" t="s">
        <v>18</v>
      </c>
      <c r="B585" t="s">
        <v>19</v>
      </c>
      <c r="C585" s="2">
        <v>43412</v>
      </c>
      <c r="D585">
        <v>692735</v>
      </c>
      <c r="E585">
        <v>6209960</v>
      </c>
      <c r="F585">
        <v>1</v>
      </c>
      <c r="G585">
        <v>6</v>
      </c>
      <c r="H585">
        <v>30</v>
      </c>
      <c r="I585">
        <v>49</v>
      </c>
      <c r="J585" t="str">
        <f>_xlfn.TEXTJOIN("-",,H585,I585)</f>
        <v>30-49</v>
      </c>
      <c r="K585" t="s">
        <v>25</v>
      </c>
      <c r="L585" t="s">
        <v>16</v>
      </c>
      <c r="M585" s="3">
        <v>20.100000000000001</v>
      </c>
      <c r="N585" t="s">
        <v>26</v>
      </c>
    </row>
    <row r="586" spans="1:14" hidden="1" x14ac:dyDescent="0.2">
      <c r="A586" t="s">
        <v>18</v>
      </c>
      <c r="B586" t="s">
        <v>19</v>
      </c>
      <c r="C586" s="2">
        <v>43412</v>
      </c>
      <c r="D586">
        <v>692735</v>
      </c>
      <c r="E586">
        <v>6209960</v>
      </c>
      <c r="F586">
        <v>1</v>
      </c>
      <c r="G586">
        <v>5</v>
      </c>
      <c r="H586">
        <v>20</v>
      </c>
      <c r="I586">
        <v>30</v>
      </c>
      <c r="J586" t="str">
        <f>_xlfn.TEXTJOIN("-",,H586,I586)</f>
        <v>20-30</v>
      </c>
      <c r="K586" t="s">
        <v>25</v>
      </c>
      <c r="L586" t="s">
        <v>16</v>
      </c>
      <c r="M586" s="3">
        <v>33.299999999999997</v>
      </c>
      <c r="N586" t="s">
        <v>26</v>
      </c>
    </row>
    <row r="587" spans="1:14" hidden="1" x14ac:dyDescent="0.2">
      <c r="A587" t="s">
        <v>13</v>
      </c>
      <c r="B587" t="s">
        <v>14</v>
      </c>
      <c r="C587" s="2">
        <v>43412</v>
      </c>
      <c r="D587">
        <v>695956</v>
      </c>
      <c r="E587">
        <v>6208568</v>
      </c>
      <c r="F587">
        <v>1</v>
      </c>
      <c r="G587">
        <v>1</v>
      </c>
      <c r="H587">
        <v>0</v>
      </c>
      <c r="I587">
        <v>2</v>
      </c>
      <c r="J587" t="str">
        <f>_xlfn.TEXTJOIN("-",,H587,I587)</f>
        <v>0-2</v>
      </c>
      <c r="K587" t="s">
        <v>15</v>
      </c>
      <c r="L587" t="s">
        <v>16</v>
      </c>
      <c r="M587" s="3">
        <v>10.000000474974501</v>
      </c>
      <c r="N587" t="s">
        <v>17</v>
      </c>
    </row>
    <row r="588" spans="1:14" hidden="1" x14ac:dyDescent="0.2">
      <c r="A588" t="s">
        <v>21</v>
      </c>
      <c r="B588" t="s">
        <v>14</v>
      </c>
      <c r="C588" s="2">
        <v>43412</v>
      </c>
      <c r="D588">
        <v>694929</v>
      </c>
      <c r="E588">
        <v>6209746</v>
      </c>
      <c r="F588">
        <v>1</v>
      </c>
      <c r="G588">
        <v>4</v>
      </c>
      <c r="H588">
        <v>10</v>
      </c>
      <c r="I588">
        <v>20</v>
      </c>
      <c r="J588" t="str">
        <f>_xlfn.TEXTJOIN("-",,H588,I588)</f>
        <v>10-20</v>
      </c>
      <c r="K588" t="s">
        <v>25</v>
      </c>
      <c r="L588" t="s">
        <v>16</v>
      </c>
      <c r="M588" s="3">
        <v>32.700000000000003</v>
      </c>
      <c r="N588" t="s">
        <v>26</v>
      </c>
    </row>
    <row r="589" spans="1:14" hidden="1" x14ac:dyDescent="0.2">
      <c r="A589" t="s">
        <v>13</v>
      </c>
      <c r="B589" t="s">
        <v>14</v>
      </c>
      <c r="C589" s="2">
        <v>43412</v>
      </c>
      <c r="D589">
        <v>695956</v>
      </c>
      <c r="E589">
        <v>6208568</v>
      </c>
      <c r="F589">
        <v>1</v>
      </c>
      <c r="G589">
        <v>6</v>
      </c>
      <c r="H589">
        <v>30</v>
      </c>
      <c r="I589">
        <v>48</v>
      </c>
      <c r="J589" t="str">
        <f>_xlfn.TEXTJOIN("-",,H589,I589)</f>
        <v>30-48</v>
      </c>
      <c r="K589" t="s">
        <v>27</v>
      </c>
      <c r="L589" t="s">
        <v>16</v>
      </c>
      <c r="M589" s="3">
        <v>0.96000004559755303</v>
      </c>
      <c r="N589" t="s">
        <v>17</v>
      </c>
    </row>
    <row r="590" spans="1:14" hidden="1" x14ac:dyDescent="0.2">
      <c r="A590" t="s">
        <v>13</v>
      </c>
      <c r="B590" t="s">
        <v>14</v>
      </c>
      <c r="C590" s="2">
        <v>43412</v>
      </c>
      <c r="D590">
        <v>695956</v>
      </c>
      <c r="E590">
        <v>6208568</v>
      </c>
      <c r="F590">
        <v>1</v>
      </c>
      <c r="G590">
        <v>2</v>
      </c>
      <c r="H590">
        <v>2</v>
      </c>
      <c r="I590">
        <v>5</v>
      </c>
      <c r="J590" t="str">
        <f t="shared" ref="J579:J598" si="1">_xlfn.TEXTJOIN("-",,H590,I590)</f>
        <v>2-5</v>
      </c>
      <c r="K590" t="s">
        <v>25</v>
      </c>
      <c r="L590" t="s">
        <v>16</v>
      </c>
      <c r="M590" s="3">
        <v>28.8</v>
      </c>
      <c r="N590" t="s">
        <v>26</v>
      </c>
    </row>
    <row r="591" spans="1:14" hidden="1" x14ac:dyDescent="0.2">
      <c r="A591" t="s">
        <v>18</v>
      </c>
      <c r="B591" t="s">
        <v>19</v>
      </c>
      <c r="C591" s="2">
        <v>43412</v>
      </c>
      <c r="D591">
        <v>692735</v>
      </c>
      <c r="E591">
        <v>6209960</v>
      </c>
      <c r="F591">
        <v>1</v>
      </c>
      <c r="G591">
        <v>2</v>
      </c>
      <c r="H591">
        <v>2</v>
      </c>
      <c r="I591">
        <v>5</v>
      </c>
      <c r="J591" t="str">
        <f t="shared" si="1"/>
        <v>2-5</v>
      </c>
      <c r="K591" t="s">
        <v>15</v>
      </c>
      <c r="L591" t="s">
        <v>16</v>
      </c>
      <c r="M591" s="3">
        <v>13.000000617466901</v>
      </c>
      <c r="N591" t="s">
        <v>17</v>
      </c>
    </row>
    <row r="592" spans="1:14" hidden="1" x14ac:dyDescent="0.2">
      <c r="A592" t="s">
        <v>21</v>
      </c>
      <c r="B592" t="s">
        <v>14</v>
      </c>
      <c r="C592" s="2">
        <v>43412</v>
      </c>
      <c r="D592">
        <v>694929</v>
      </c>
      <c r="E592">
        <v>6209746</v>
      </c>
      <c r="F592">
        <v>1</v>
      </c>
      <c r="G592">
        <v>6</v>
      </c>
      <c r="H592">
        <v>30</v>
      </c>
      <c r="I592">
        <v>50</v>
      </c>
      <c r="J592" t="str">
        <f t="shared" si="1"/>
        <v>30-50</v>
      </c>
      <c r="K592" t="s">
        <v>22</v>
      </c>
      <c r="L592" t="s">
        <v>16</v>
      </c>
      <c r="M592" s="3">
        <v>14.1</v>
      </c>
      <c r="N592" t="s">
        <v>23</v>
      </c>
    </row>
    <row r="593" spans="1:14" hidden="1" x14ac:dyDescent="0.2">
      <c r="A593" t="s">
        <v>13</v>
      </c>
      <c r="B593" t="s">
        <v>14</v>
      </c>
      <c r="C593" s="2">
        <v>43412</v>
      </c>
      <c r="D593">
        <v>695956</v>
      </c>
      <c r="E593">
        <v>6208568</v>
      </c>
      <c r="F593">
        <v>1</v>
      </c>
      <c r="G593">
        <v>6</v>
      </c>
      <c r="H593">
        <v>30</v>
      </c>
      <c r="I593">
        <v>48</v>
      </c>
      <c r="J593" t="str">
        <f t="shared" si="1"/>
        <v>30-48</v>
      </c>
      <c r="K593" t="s">
        <v>22</v>
      </c>
      <c r="L593" t="s">
        <v>16</v>
      </c>
      <c r="M593" s="3">
        <v>14.3</v>
      </c>
      <c r="N593" t="s">
        <v>23</v>
      </c>
    </row>
    <row r="594" spans="1:14" hidden="1" x14ac:dyDescent="0.2">
      <c r="A594" t="s">
        <v>18</v>
      </c>
      <c r="B594" t="s">
        <v>19</v>
      </c>
      <c r="C594" s="2">
        <v>43412</v>
      </c>
      <c r="D594">
        <v>692735</v>
      </c>
      <c r="E594">
        <v>6209960</v>
      </c>
      <c r="F594">
        <v>1</v>
      </c>
      <c r="G594">
        <v>1</v>
      </c>
      <c r="H594">
        <v>0</v>
      </c>
      <c r="I594">
        <v>2</v>
      </c>
      <c r="J594" t="str">
        <f t="shared" si="1"/>
        <v>0-2</v>
      </c>
      <c r="K594" t="s">
        <v>22</v>
      </c>
      <c r="L594" t="s">
        <v>16</v>
      </c>
      <c r="M594" s="3">
        <v>2.9</v>
      </c>
      <c r="N594" t="s">
        <v>23</v>
      </c>
    </row>
    <row r="595" spans="1:14" hidden="1" x14ac:dyDescent="0.2">
      <c r="A595" t="s">
        <v>21</v>
      </c>
      <c r="B595" t="s">
        <v>14</v>
      </c>
      <c r="C595" s="2">
        <v>43412</v>
      </c>
      <c r="D595">
        <v>694929</v>
      </c>
      <c r="E595">
        <v>6209746</v>
      </c>
      <c r="F595">
        <v>1</v>
      </c>
      <c r="G595">
        <v>1</v>
      </c>
      <c r="H595">
        <v>0</v>
      </c>
      <c r="I595">
        <v>2</v>
      </c>
      <c r="J595" t="str">
        <f t="shared" si="1"/>
        <v>0-2</v>
      </c>
      <c r="K595" t="s">
        <v>15</v>
      </c>
      <c r="L595" t="s">
        <v>16</v>
      </c>
      <c r="M595" s="3">
        <v>7.8000003704801202</v>
      </c>
      <c r="N595" t="s">
        <v>17</v>
      </c>
    </row>
    <row r="596" spans="1:14" hidden="1" x14ac:dyDescent="0.2">
      <c r="A596" t="s">
        <v>21</v>
      </c>
      <c r="B596" t="s">
        <v>14</v>
      </c>
      <c r="C596" s="2">
        <v>43412</v>
      </c>
      <c r="D596">
        <v>694929</v>
      </c>
      <c r="E596">
        <v>6209746</v>
      </c>
      <c r="F596">
        <v>1</v>
      </c>
      <c r="G596">
        <v>3</v>
      </c>
      <c r="H596">
        <v>5</v>
      </c>
      <c r="I596">
        <v>10</v>
      </c>
      <c r="J596" t="str">
        <f t="shared" si="1"/>
        <v>5-10</v>
      </c>
      <c r="K596" t="s">
        <v>22</v>
      </c>
      <c r="L596" t="s">
        <v>16</v>
      </c>
      <c r="M596" s="3">
        <v>6.2</v>
      </c>
      <c r="N596" t="s">
        <v>23</v>
      </c>
    </row>
    <row r="597" spans="1:14" hidden="1" x14ac:dyDescent="0.2">
      <c r="A597" t="s">
        <v>21</v>
      </c>
      <c r="B597" t="s">
        <v>14</v>
      </c>
      <c r="C597" s="2">
        <v>43412</v>
      </c>
      <c r="D597">
        <v>694929</v>
      </c>
      <c r="E597">
        <v>6209746</v>
      </c>
      <c r="F597">
        <v>1</v>
      </c>
      <c r="G597">
        <v>5</v>
      </c>
      <c r="H597">
        <v>20</v>
      </c>
      <c r="I597">
        <v>30</v>
      </c>
      <c r="J597" t="str">
        <f t="shared" si="1"/>
        <v>20-30</v>
      </c>
      <c r="K597" t="s">
        <v>15</v>
      </c>
      <c r="L597" t="s">
        <v>16</v>
      </c>
      <c r="M597" s="3">
        <v>9.6000004559755308</v>
      </c>
      <c r="N597" t="s">
        <v>17</v>
      </c>
    </row>
    <row r="598" spans="1:14" hidden="1" x14ac:dyDescent="0.2">
      <c r="A598" t="s">
        <v>18</v>
      </c>
      <c r="B598" t="s">
        <v>19</v>
      </c>
      <c r="C598" s="2">
        <v>43412</v>
      </c>
      <c r="D598">
        <v>692735</v>
      </c>
      <c r="E598">
        <v>6209960</v>
      </c>
      <c r="F598">
        <v>1</v>
      </c>
      <c r="G598">
        <v>4</v>
      </c>
      <c r="H598">
        <v>10</v>
      </c>
      <c r="I598">
        <v>20</v>
      </c>
      <c r="J598" t="str">
        <f t="shared" si="1"/>
        <v>10-20</v>
      </c>
      <c r="K598" t="s">
        <v>25</v>
      </c>
      <c r="L598" t="s">
        <v>16</v>
      </c>
      <c r="M598" s="3">
        <v>28</v>
      </c>
      <c r="N598" t="s">
        <v>26</v>
      </c>
    </row>
  </sheetData>
  <autoFilter ref="A1:AL598" xr:uid="{E2BE2B07-C5BA-DC41-B511-B497CCFF6D34}">
    <filterColumn colId="9">
      <filters>
        <filter val="0-2"/>
        <filter val="2-5"/>
        <filter val="5-10"/>
        <filter val="5-8"/>
      </filters>
    </filterColumn>
    <filterColumn colId="10">
      <filters>
        <filter val="Phosphor, total-P"/>
      </filters>
    </filterColumn>
    <sortState xmlns:xlrd2="http://schemas.microsoft.com/office/spreadsheetml/2017/richdata2" ref="A6:N572">
      <sortCondition ref="J1:J5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112B-A03D-424C-86F8-318B9EA35769}">
  <dimension ref="A1:G43"/>
  <sheetViews>
    <sheetView workbookViewId="0">
      <selection activeCell="M20" sqref="M20"/>
    </sheetView>
  </sheetViews>
  <sheetFormatPr baseColWidth="10" defaultRowHeight="16" x14ac:dyDescent="0.2"/>
  <cols>
    <col min="1" max="1" width="17.33203125" bestFit="1" customWidth="1"/>
    <col min="2" max="2" width="13.33203125" bestFit="1" customWidth="1"/>
    <col min="3" max="8" width="7.6640625" bestFit="1" customWidth="1"/>
    <col min="9" max="9" width="6.6640625" bestFit="1" customWidth="1"/>
    <col min="10" max="10" width="7.6640625" bestFit="1" customWidth="1"/>
    <col min="11" max="13" width="6.6640625" bestFit="1" customWidth="1"/>
    <col min="14" max="14" width="7.6640625" bestFit="1" customWidth="1"/>
    <col min="15" max="15" width="6.6640625" bestFit="1" customWidth="1"/>
    <col min="16" max="16" width="7.6640625" bestFit="1" customWidth="1"/>
    <col min="17" max="19" width="6.6640625" bestFit="1" customWidth="1"/>
    <col min="20" max="20" width="7.6640625" bestFit="1" customWidth="1"/>
    <col min="21" max="21" width="6.6640625" bestFit="1" customWidth="1"/>
    <col min="22" max="23" width="7.6640625" bestFit="1" customWidth="1"/>
    <col min="24" max="24" width="6.6640625" bestFit="1" customWidth="1"/>
    <col min="25" max="26" width="7.6640625" bestFit="1" customWidth="1"/>
    <col min="27" max="27" width="6.6640625" bestFit="1" customWidth="1"/>
    <col min="28" max="43" width="7.6640625" bestFit="1" customWidth="1"/>
    <col min="44" max="44" width="10.5" bestFit="1" customWidth="1"/>
  </cols>
  <sheetData>
    <row r="1" spans="1:7" x14ac:dyDescent="0.2">
      <c r="A1" s="4" t="s">
        <v>9</v>
      </c>
      <c r="B1" t="s">
        <v>22</v>
      </c>
    </row>
    <row r="3" spans="1:7" x14ac:dyDescent="0.2">
      <c r="A3" s="4" t="s">
        <v>40</v>
      </c>
    </row>
    <row r="4" spans="1:7" x14ac:dyDescent="0.2"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</row>
    <row r="5" spans="1:7" x14ac:dyDescent="0.2">
      <c r="A5" s="5" t="s">
        <v>18</v>
      </c>
      <c r="B5" s="3"/>
      <c r="C5" s="3"/>
      <c r="D5" s="3"/>
      <c r="E5" s="3"/>
      <c r="F5" s="3"/>
      <c r="G5" s="3"/>
    </row>
    <row r="6" spans="1:7" x14ac:dyDescent="0.2">
      <c r="A6" s="6">
        <v>1</v>
      </c>
      <c r="B6" s="3"/>
      <c r="C6" s="3"/>
      <c r="D6" s="3"/>
      <c r="E6" s="3"/>
      <c r="F6" s="3"/>
      <c r="G6" s="3"/>
    </row>
    <row r="7" spans="1:7" x14ac:dyDescent="0.2">
      <c r="A7" s="7" t="s">
        <v>42</v>
      </c>
      <c r="B7" s="3">
        <v>5.0100000746548199</v>
      </c>
      <c r="C7" s="3">
        <v>2.8</v>
      </c>
      <c r="D7" s="3">
        <v>5.7</v>
      </c>
      <c r="E7" s="3">
        <v>3.21</v>
      </c>
      <c r="F7" s="3">
        <v>3.3</v>
      </c>
      <c r="G7" s="3">
        <v>2.9</v>
      </c>
    </row>
    <row r="8" spans="1:7" x14ac:dyDescent="0.2">
      <c r="A8" s="7" t="s">
        <v>43</v>
      </c>
      <c r="B8" s="3">
        <v>14.3000002130866</v>
      </c>
      <c r="C8" s="3">
        <v>6.3</v>
      </c>
      <c r="D8" s="3">
        <v>19.7</v>
      </c>
      <c r="E8" s="3">
        <v>8.65</v>
      </c>
      <c r="F8" s="3">
        <v>8.1</v>
      </c>
      <c r="G8" s="3">
        <v>13.9</v>
      </c>
    </row>
    <row r="9" spans="1:7" x14ac:dyDescent="0.2">
      <c r="A9" s="7" t="s">
        <v>44</v>
      </c>
      <c r="B9" s="3">
        <v>10.9000001624227</v>
      </c>
      <c r="C9" s="3">
        <v>3.7</v>
      </c>
      <c r="D9" s="3">
        <v>16.5</v>
      </c>
      <c r="E9" s="3">
        <v>5.49</v>
      </c>
      <c r="F9" s="3">
        <v>4.9000000000000004</v>
      </c>
      <c r="G9" s="3">
        <v>4.5</v>
      </c>
    </row>
    <row r="10" spans="1:7" x14ac:dyDescent="0.2">
      <c r="A10" s="7" t="s">
        <v>45</v>
      </c>
      <c r="B10" s="3">
        <v>16.300000242888899</v>
      </c>
      <c r="C10" s="3">
        <v>10</v>
      </c>
      <c r="D10" s="3">
        <v>21.6</v>
      </c>
      <c r="E10" s="3">
        <v>20</v>
      </c>
      <c r="F10" s="3">
        <v>10</v>
      </c>
      <c r="G10" s="3">
        <v>9.43</v>
      </c>
    </row>
    <row r="11" spans="1:7" x14ac:dyDescent="0.2">
      <c r="A11" s="7" t="s">
        <v>46</v>
      </c>
      <c r="B11" s="3">
        <v>13.500000201165699</v>
      </c>
      <c r="C11" s="3"/>
      <c r="D11" s="3"/>
      <c r="E11" s="3"/>
      <c r="F11" s="3"/>
      <c r="G11" s="3"/>
    </row>
    <row r="12" spans="1:7" x14ac:dyDescent="0.2">
      <c r="A12" s="7" t="s">
        <v>49</v>
      </c>
      <c r="B12" s="3"/>
      <c r="C12" s="3">
        <v>15</v>
      </c>
      <c r="D12" s="3"/>
      <c r="E12" s="3"/>
      <c r="F12" s="3"/>
      <c r="G12" s="3"/>
    </row>
    <row r="13" spans="1:7" x14ac:dyDescent="0.2">
      <c r="A13" s="7" t="s">
        <v>50</v>
      </c>
      <c r="B13" s="3"/>
      <c r="C13" s="3"/>
      <c r="D13" s="3"/>
      <c r="E13" s="3">
        <v>11.7</v>
      </c>
      <c r="F13" s="3"/>
      <c r="G13" s="3"/>
    </row>
    <row r="14" spans="1:7" x14ac:dyDescent="0.2">
      <c r="A14" s="7" t="s">
        <v>52</v>
      </c>
      <c r="B14" s="3"/>
      <c r="C14" s="3"/>
      <c r="D14" s="3"/>
      <c r="E14" s="3"/>
      <c r="F14" s="3"/>
      <c r="G14" s="3">
        <v>14.3</v>
      </c>
    </row>
    <row r="15" spans="1:7" x14ac:dyDescent="0.2">
      <c r="A15" s="7" t="s">
        <v>53</v>
      </c>
      <c r="B15" s="3"/>
      <c r="C15" s="3"/>
      <c r="D15" s="3">
        <v>19.7</v>
      </c>
      <c r="E15" s="3"/>
      <c r="F15" s="3">
        <v>11</v>
      </c>
      <c r="G15" s="3"/>
    </row>
    <row r="16" spans="1:7" x14ac:dyDescent="0.2">
      <c r="A16" s="7" t="s">
        <v>54</v>
      </c>
      <c r="B16" s="3">
        <v>13.600000202655799</v>
      </c>
      <c r="C16" s="3">
        <v>4.8</v>
      </c>
      <c r="D16" s="3">
        <v>18.100000000000001</v>
      </c>
      <c r="E16" s="3">
        <v>6.79</v>
      </c>
      <c r="F16" s="3">
        <v>6.4</v>
      </c>
      <c r="G16" s="3">
        <v>6.5</v>
      </c>
    </row>
    <row r="17" spans="1:7" x14ac:dyDescent="0.2">
      <c r="A17" s="6">
        <v>2</v>
      </c>
      <c r="B17" s="3"/>
      <c r="C17" s="3"/>
      <c r="D17" s="3"/>
      <c r="E17" s="3"/>
      <c r="F17" s="3"/>
      <c r="G17" s="3"/>
    </row>
    <row r="18" spans="1:7" x14ac:dyDescent="0.2">
      <c r="A18" s="7" t="s">
        <v>42</v>
      </c>
      <c r="B18" s="3">
        <v>19.600000292062798</v>
      </c>
      <c r="C18" s="3"/>
      <c r="D18" s="3"/>
      <c r="E18" s="3"/>
      <c r="F18" s="3"/>
      <c r="G18" s="3"/>
    </row>
    <row r="19" spans="1:7" x14ac:dyDescent="0.2">
      <c r="A19" s="7" t="s">
        <v>43</v>
      </c>
      <c r="B19" s="3">
        <v>15.700000233948201</v>
      </c>
      <c r="C19" s="3"/>
      <c r="D19" s="3"/>
      <c r="E19" s="3"/>
      <c r="F19" s="3"/>
      <c r="G19" s="3"/>
    </row>
    <row r="20" spans="1:7" x14ac:dyDescent="0.2">
      <c r="A20" s="7" t="s">
        <v>44</v>
      </c>
      <c r="B20" s="3">
        <v>23.100000344216799</v>
      </c>
      <c r="C20" s="3"/>
      <c r="D20" s="3"/>
      <c r="E20" s="3"/>
      <c r="F20" s="3"/>
      <c r="G20" s="3"/>
    </row>
    <row r="21" spans="1:7" x14ac:dyDescent="0.2">
      <c r="A21" s="7" t="s">
        <v>45</v>
      </c>
      <c r="B21" s="3">
        <v>14.5000002160668</v>
      </c>
      <c r="C21" s="3"/>
      <c r="D21" s="3"/>
      <c r="E21" s="3"/>
      <c r="F21" s="3"/>
      <c r="G21" s="3"/>
    </row>
    <row r="22" spans="1:7" x14ac:dyDescent="0.2">
      <c r="A22" s="7" t="s">
        <v>46</v>
      </c>
      <c r="B22" s="3">
        <v>16.700000248849399</v>
      </c>
      <c r="C22" s="3"/>
      <c r="D22" s="3"/>
      <c r="E22" s="3"/>
      <c r="F22" s="3"/>
      <c r="G22" s="3"/>
    </row>
    <row r="23" spans="1:7" x14ac:dyDescent="0.2">
      <c r="A23" s="7" t="s">
        <v>54</v>
      </c>
      <c r="B23" s="3">
        <v>12.3000001832843</v>
      </c>
      <c r="C23" s="3"/>
      <c r="D23" s="3"/>
      <c r="E23" s="3"/>
      <c r="F23" s="3"/>
      <c r="G23" s="3"/>
    </row>
    <row r="24" spans="1:7" x14ac:dyDescent="0.2">
      <c r="A24" s="5" t="s">
        <v>13</v>
      </c>
      <c r="B24" s="3"/>
      <c r="C24" s="3"/>
      <c r="D24" s="3"/>
      <c r="E24" s="3"/>
      <c r="F24" s="3"/>
      <c r="G24" s="3"/>
    </row>
    <row r="25" spans="1:7" x14ac:dyDescent="0.2">
      <c r="A25" s="6">
        <v>1</v>
      </c>
      <c r="B25" s="3"/>
      <c r="C25" s="3"/>
      <c r="D25" s="3"/>
      <c r="E25" s="3"/>
      <c r="F25" s="3"/>
      <c r="G25" s="3"/>
    </row>
    <row r="26" spans="1:7" x14ac:dyDescent="0.2">
      <c r="A26" s="7" t="s">
        <v>42</v>
      </c>
      <c r="B26" s="3"/>
      <c r="C26" s="3">
        <v>3.4</v>
      </c>
      <c r="D26" s="3">
        <v>6.41</v>
      </c>
      <c r="E26" s="3">
        <v>3.06</v>
      </c>
      <c r="F26" s="3">
        <v>2.9</v>
      </c>
      <c r="G26" s="3">
        <v>3.3</v>
      </c>
    </row>
    <row r="27" spans="1:7" x14ac:dyDescent="0.2">
      <c r="A27" s="7" t="s">
        <v>43</v>
      </c>
      <c r="B27" s="3"/>
      <c r="C27" s="3">
        <v>6.1</v>
      </c>
      <c r="D27" s="3">
        <v>17.7</v>
      </c>
      <c r="E27" s="3">
        <v>14.6</v>
      </c>
      <c r="F27" s="3">
        <v>9.1999999999999993</v>
      </c>
      <c r="G27" s="3">
        <v>9.3000000000000007</v>
      </c>
    </row>
    <row r="28" spans="1:7" x14ac:dyDescent="0.2">
      <c r="A28" s="7" t="s">
        <v>44</v>
      </c>
      <c r="B28" s="3"/>
      <c r="C28" s="3">
        <v>3.9</v>
      </c>
      <c r="D28" s="3">
        <v>8.5500000000000007</v>
      </c>
      <c r="E28" s="3">
        <v>6.49</v>
      </c>
      <c r="F28" s="3">
        <v>4.3</v>
      </c>
      <c r="G28" s="3">
        <v>5.7</v>
      </c>
    </row>
    <row r="29" spans="1:7" x14ac:dyDescent="0.2">
      <c r="A29" s="7" t="s">
        <v>45</v>
      </c>
      <c r="B29" s="3"/>
      <c r="C29" s="3">
        <v>9.6</v>
      </c>
      <c r="D29" s="3">
        <v>16.399999999999999</v>
      </c>
      <c r="E29" s="3">
        <v>30.3</v>
      </c>
      <c r="F29" s="3">
        <v>13</v>
      </c>
      <c r="G29" s="3">
        <v>14.4</v>
      </c>
    </row>
    <row r="30" spans="1:7" x14ac:dyDescent="0.2">
      <c r="A30" s="7" t="s">
        <v>48</v>
      </c>
      <c r="B30" s="3"/>
      <c r="C30" s="3">
        <v>13</v>
      </c>
      <c r="D30" s="3"/>
      <c r="E30" s="3"/>
      <c r="F30" s="3"/>
      <c r="G30" s="3"/>
    </row>
    <row r="31" spans="1:7" x14ac:dyDescent="0.2">
      <c r="A31" s="7" t="s">
        <v>51</v>
      </c>
      <c r="B31" s="3"/>
      <c r="C31" s="3"/>
      <c r="D31" s="3"/>
      <c r="E31" s="3">
        <v>44.5</v>
      </c>
      <c r="F31" s="3"/>
      <c r="G31" s="3">
        <v>14.3</v>
      </c>
    </row>
    <row r="32" spans="1:7" x14ac:dyDescent="0.2">
      <c r="A32" s="7" t="s">
        <v>53</v>
      </c>
      <c r="B32" s="3"/>
      <c r="C32" s="3"/>
      <c r="D32" s="3">
        <v>15.2</v>
      </c>
      <c r="E32" s="3"/>
      <c r="F32" s="3">
        <v>19</v>
      </c>
      <c r="G32" s="3"/>
    </row>
    <row r="33" spans="1:7" x14ac:dyDescent="0.2">
      <c r="A33" s="7" t="s">
        <v>54</v>
      </c>
      <c r="B33" s="3"/>
      <c r="C33" s="3">
        <v>4.2</v>
      </c>
      <c r="D33" s="3">
        <v>20.3</v>
      </c>
      <c r="E33" s="3">
        <v>10.6</v>
      </c>
      <c r="F33" s="3">
        <v>6</v>
      </c>
      <c r="G33" s="3">
        <v>7.2</v>
      </c>
    </row>
    <row r="34" spans="1:7" x14ac:dyDescent="0.2">
      <c r="A34" s="5" t="s">
        <v>21</v>
      </c>
      <c r="B34" s="3"/>
      <c r="C34" s="3"/>
      <c r="D34" s="3"/>
      <c r="E34" s="3"/>
      <c r="F34" s="3"/>
      <c r="G34" s="3"/>
    </row>
    <row r="35" spans="1:7" x14ac:dyDescent="0.2">
      <c r="A35" s="6">
        <v>1</v>
      </c>
      <c r="B35" s="3"/>
      <c r="C35" s="3"/>
      <c r="D35" s="3"/>
      <c r="E35" s="3"/>
      <c r="F35" s="3"/>
      <c r="G35" s="3"/>
    </row>
    <row r="36" spans="1:7" x14ac:dyDescent="0.2">
      <c r="A36" s="7" t="s">
        <v>42</v>
      </c>
      <c r="B36" s="3">
        <v>15.500000230968</v>
      </c>
      <c r="C36" s="3">
        <v>3.3</v>
      </c>
      <c r="D36" s="3">
        <v>4.1100000000000003</v>
      </c>
      <c r="E36" s="3">
        <v>2.78</v>
      </c>
      <c r="F36" s="3">
        <v>3</v>
      </c>
      <c r="G36" s="3">
        <v>3</v>
      </c>
    </row>
    <row r="37" spans="1:7" x14ac:dyDescent="0.2">
      <c r="A37" s="7" t="s">
        <v>43</v>
      </c>
      <c r="B37" s="3"/>
      <c r="C37" s="3">
        <v>7.6</v>
      </c>
      <c r="D37" s="3">
        <v>14.1</v>
      </c>
      <c r="E37" s="3">
        <v>8.8699999999999992</v>
      </c>
      <c r="F37" s="3">
        <v>7.9</v>
      </c>
      <c r="G37" s="3">
        <v>7.3</v>
      </c>
    </row>
    <row r="38" spans="1:7" x14ac:dyDescent="0.2">
      <c r="A38" s="7" t="s">
        <v>44</v>
      </c>
      <c r="B38" s="3">
        <v>70.300001047551604</v>
      </c>
      <c r="C38" s="3">
        <v>5.2</v>
      </c>
      <c r="D38" s="3">
        <v>10</v>
      </c>
      <c r="E38" s="3">
        <v>4.8</v>
      </c>
      <c r="F38" s="3">
        <v>4.3</v>
      </c>
      <c r="G38" s="3">
        <v>4.3</v>
      </c>
    </row>
    <row r="39" spans="1:7" x14ac:dyDescent="0.2">
      <c r="A39" s="7" t="s">
        <v>45</v>
      </c>
      <c r="B39" s="3"/>
      <c r="C39" s="3">
        <v>9</v>
      </c>
      <c r="D39" s="3">
        <v>14.5</v>
      </c>
      <c r="E39" s="3">
        <v>12.8</v>
      </c>
      <c r="F39" s="3">
        <v>12</v>
      </c>
      <c r="G39" s="3">
        <v>9.4</v>
      </c>
    </row>
    <row r="40" spans="1:7" x14ac:dyDescent="0.2">
      <c r="A40" s="7" t="s">
        <v>47</v>
      </c>
      <c r="B40" s="3"/>
      <c r="C40" s="3">
        <v>12</v>
      </c>
      <c r="D40" s="3"/>
      <c r="E40" s="3">
        <v>15.8</v>
      </c>
      <c r="F40" s="3"/>
      <c r="G40" s="3"/>
    </row>
    <row r="41" spans="1:7" x14ac:dyDescent="0.2">
      <c r="A41" s="7" t="s">
        <v>53</v>
      </c>
      <c r="B41" s="3"/>
      <c r="C41" s="3"/>
      <c r="D41" s="3">
        <v>14.8</v>
      </c>
      <c r="E41" s="3"/>
      <c r="F41" s="3">
        <v>18</v>
      </c>
      <c r="G41" s="3">
        <v>14.1</v>
      </c>
    </row>
    <row r="42" spans="1:7" x14ac:dyDescent="0.2">
      <c r="A42" s="7" t="s">
        <v>54</v>
      </c>
      <c r="B42" s="3"/>
      <c r="C42" s="3">
        <v>6.5</v>
      </c>
      <c r="D42" s="3">
        <v>11.9</v>
      </c>
      <c r="E42" s="3">
        <v>6.14</v>
      </c>
      <c r="F42" s="3">
        <v>5.3</v>
      </c>
      <c r="G42" s="3">
        <v>6.2</v>
      </c>
    </row>
    <row r="43" spans="1:7" x14ac:dyDescent="0.2">
      <c r="A43" s="7" t="s">
        <v>55</v>
      </c>
      <c r="B43" s="3">
        <v>79.400001183152199</v>
      </c>
      <c r="C43" s="3"/>
      <c r="D43" s="3"/>
      <c r="E43" s="3"/>
      <c r="F43" s="3"/>
      <c r="G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Stage Sø</dc:creator>
  <cp:lastModifiedBy>Jonas Stage Sø</cp:lastModifiedBy>
  <dcterms:created xsi:type="dcterms:W3CDTF">2025-01-15T09:02:32Z</dcterms:created>
  <dcterms:modified xsi:type="dcterms:W3CDTF">2025-09-04T12:30:49Z</dcterms:modified>
</cp:coreProperties>
</file>