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Data/"/>
    </mc:Choice>
  </mc:AlternateContent>
  <xr:revisionPtr revIDLastSave="65" documentId="8_{45295E24-2AE5-0B4E-AED7-AF52A86DFDE0}" xr6:coauthVersionLast="47" xr6:coauthVersionMax="47" xr10:uidLastSave="{0F30F6D6-D458-7C4A-A51F-D9F5C06EA4DB}"/>
  <bookViews>
    <workbookView xWindow="15000" yWindow="-17800" windowWidth="28800" windowHeight="17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C7" i="5"/>
  <c r="Q8" i="5"/>
  <c r="P7" i="5"/>
  <c r="O7" i="5"/>
  <c r="O8" i="5" s="1"/>
  <c r="N7" i="5"/>
  <c r="N8" i="5" s="1"/>
  <c r="M7" i="5"/>
  <c r="L7" i="5"/>
  <c r="K7" i="5"/>
  <c r="J7" i="5"/>
  <c r="I7" i="5"/>
  <c r="H7" i="5"/>
  <c r="G7" i="5"/>
  <c r="G8" i="5" s="1"/>
  <c r="F7" i="5"/>
  <c r="F8" i="5" s="1"/>
  <c r="E7" i="5"/>
  <c r="E8" i="5" s="1"/>
  <c r="D7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M14" i="4"/>
  <c r="L14" i="4"/>
  <c r="K14" i="4"/>
  <c r="M13" i="4"/>
  <c r="L13" i="4"/>
  <c r="K13" i="4"/>
  <c r="M12" i="4"/>
  <c r="L12" i="4"/>
  <c r="K12" i="4"/>
  <c r="M10" i="4"/>
  <c r="L10" i="4"/>
  <c r="K10" i="4"/>
  <c r="M9" i="4"/>
  <c r="L9" i="4"/>
  <c r="K9" i="4"/>
  <c r="M8" i="4"/>
  <c r="L8" i="4"/>
  <c r="K8" i="4"/>
  <c r="M6" i="4"/>
  <c r="M18" i="4" s="1"/>
  <c r="L6" i="4"/>
  <c r="L18" i="4" s="1"/>
  <c r="K6" i="4"/>
  <c r="K18" i="4" s="1"/>
  <c r="M5" i="4"/>
  <c r="M17" i="4" s="1"/>
  <c r="L5" i="4"/>
  <c r="L17" i="4" s="1"/>
  <c r="K5" i="4"/>
  <c r="K17" i="4" s="1"/>
  <c r="M4" i="4"/>
  <c r="L4" i="4"/>
  <c r="K4" i="4"/>
  <c r="K16" i="4" s="1"/>
  <c r="C9" i="2"/>
  <c r="I9" i="2"/>
  <c r="H9" i="2"/>
  <c r="G9" i="2"/>
  <c r="F9" i="2"/>
  <c r="E9" i="2"/>
  <c r="D9" i="2"/>
  <c r="AF87" i="1"/>
  <c r="AF86" i="1"/>
  <c r="AE87" i="1"/>
  <c r="AE86" i="1"/>
  <c r="H88" i="1"/>
  <c r="I88" i="1"/>
  <c r="J88" i="1"/>
  <c r="K88" i="1"/>
  <c r="L88" i="1"/>
  <c r="M88" i="1"/>
  <c r="O88" i="1"/>
  <c r="S88" i="1"/>
  <c r="V88" i="1"/>
  <c r="W88" i="1"/>
  <c r="X88" i="1"/>
  <c r="AC88" i="1"/>
  <c r="G88" i="1"/>
  <c r="U87" i="1"/>
  <c r="U88" i="1" s="1"/>
  <c r="U86" i="1"/>
  <c r="V87" i="1"/>
  <c r="V86" i="1"/>
  <c r="W87" i="1"/>
  <c r="W86" i="1"/>
  <c r="X87" i="1"/>
  <c r="X86" i="1"/>
  <c r="Y87" i="1"/>
  <c r="Y88" i="1" s="1"/>
  <c r="Y86" i="1"/>
  <c r="Z87" i="1"/>
  <c r="Z86" i="1"/>
  <c r="Z88" i="1" s="1"/>
  <c r="AA87" i="1"/>
  <c r="AA88" i="1" s="1"/>
  <c r="AA86" i="1"/>
  <c r="AB87" i="1"/>
  <c r="AB88" i="1" s="1"/>
  <c r="AB86" i="1"/>
  <c r="T87" i="1"/>
  <c r="T88" i="1" s="1"/>
  <c r="T86" i="1"/>
  <c r="S87" i="1"/>
  <c r="S86" i="1"/>
  <c r="R87" i="1"/>
  <c r="R88" i="1" s="1"/>
  <c r="R86" i="1"/>
  <c r="Q87" i="1"/>
  <c r="Q88" i="1" s="1"/>
  <c r="Q86" i="1"/>
  <c r="P87" i="1"/>
  <c r="P86" i="1"/>
  <c r="P88" i="1" s="1"/>
  <c r="O87" i="1"/>
  <c r="O86" i="1"/>
  <c r="P8" i="5" l="1"/>
  <c r="H8" i="5"/>
  <c r="I8" i="5"/>
  <c r="M8" i="5"/>
  <c r="D8" i="5"/>
  <c r="J8" i="5"/>
  <c r="K8" i="5"/>
  <c r="L8" i="5"/>
  <c r="L16" i="4"/>
  <c r="M16" i="4"/>
  <c r="AF88" i="1"/>
  <c r="AE88" i="1"/>
  <c r="E24" i="1"/>
  <c r="E23" i="1"/>
  <c r="E22" i="1"/>
  <c r="E21" i="1"/>
  <c r="E19" i="1"/>
  <c r="E18" i="1"/>
  <c r="E17" i="1"/>
  <c r="E15" i="1"/>
  <c r="E14" i="1"/>
</calcChain>
</file>

<file path=xl/sharedStrings.xml><?xml version="1.0" encoding="utf-8"?>
<sst xmlns="http://schemas.openxmlformats.org/spreadsheetml/2006/main" count="286" uniqueCount="129">
  <si>
    <t>Arresø tal</t>
  </si>
  <si>
    <t>Secchi</t>
  </si>
  <si>
    <t>1956-57</t>
  </si>
  <si>
    <t>Middel</t>
  </si>
  <si>
    <t>min</t>
  </si>
  <si>
    <t>max</t>
  </si>
  <si>
    <t>n</t>
  </si>
  <si>
    <t>cm</t>
  </si>
  <si>
    <t>sommer</t>
  </si>
  <si>
    <t>pH</t>
  </si>
  <si>
    <t>Vandplantearte</t>
  </si>
  <si>
    <t>P perfol.</t>
  </si>
  <si>
    <t>P.pect</t>
  </si>
  <si>
    <t>P lucens</t>
  </si>
  <si>
    <t>P gramin</t>
  </si>
  <si>
    <t>P zizzii</t>
  </si>
  <si>
    <t>Myr spic</t>
  </si>
  <si>
    <t>Hel, avivul</t>
  </si>
  <si>
    <t>Chara aspera</t>
  </si>
  <si>
    <t>Chara contraria</t>
  </si>
  <si>
    <t>1973-76</t>
  </si>
  <si>
    <t>x</t>
  </si>
  <si>
    <t>Siden?</t>
  </si>
  <si>
    <t>jan</t>
  </si>
  <si>
    <t>feb</t>
  </si>
  <si>
    <t>mar</t>
  </si>
  <si>
    <t>jun</t>
  </si>
  <si>
    <t>jul</t>
  </si>
  <si>
    <t>aug</t>
  </si>
  <si>
    <t>Måneds</t>
  </si>
  <si>
    <t>sep</t>
  </si>
  <si>
    <t>okt</t>
  </si>
  <si>
    <t>Calcium</t>
  </si>
  <si>
    <t>mM</t>
  </si>
  <si>
    <t>april</t>
  </si>
  <si>
    <t>maj</t>
  </si>
  <si>
    <t>nov</t>
  </si>
  <si>
    <t>dec</t>
  </si>
  <si>
    <t>uorg kulstof</t>
  </si>
  <si>
    <t>måned</t>
  </si>
  <si>
    <t>marts</t>
  </si>
  <si>
    <t>juni</t>
  </si>
  <si>
    <t>juli</t>
  </si>
  <si>
    <t>Ortho-P</t>
  </si>
  <si>
    <t>ug/l</t>
  </si>
  <si>
    <t>Ammonium + Nitrat</t>
  </si>
  <si>
    <t>ug/L</t>
  </si>
  <si>
    <t>Solbjerg Engsø  A: 33 ha, Strødam 18 ha</t>
  </si>
  <si>
    <t>Sum af rensningsanlæ</t>
  </si>
  <si>
    <t>æg</t>
  </si>
  <si>
    <t>TP</t>
  </si>
  <si>
    <t>kg/år</t>
  </si>
  <si>
    <t>TN</t>
  </si>
  <si>
    <t>Regnvandsbetinget tab</t>
  </si>
  <si>
    <t>Diffust bidrag</t>
  </si>
  <si>
    <t xml:space="preserve">TP </t>
  </si>
  <si>
    <t>STRØDAM tilført</t>
  </si>
  <si>
    <t>Vandbalance</t>
  </si>
  <si>
    <t>Til</t>
  </si>
  <si>
    <t>Fra</t>
  </si>
  <si>
    <t>1000 m3/y</t>
  </si>
  <si>
    <t>Målt tilførsel</t>
  </si>
  <si>
    <t>Målt fraførsel</t>
  </si>
  <si>
    <t>Retention</t>
  </si>
  <si>
    <t>Opholdstid</t>
  </si>
  <si>
    <t>dage</t>
  </si>
  <si>
    <t xml:space="preserve">Retention  </t>
  </si>
  <si>
    <t>% af tilførs</t>
  </si>
  <si>
    <t>Strødam retension</t>
  </si>
  <si>
    <t xml:space="preserve">Strødam retention </t>
  </si>
  <si>
    <t>Tilført</t>
  </si>
  <si>
    <t>Solbjerg Engsø</t>
  </si>
  <si>
    <t>g/m2/år</t>
  </si>
  <si>
    <t>Strødam</t>
  </si>
  <si>
    <t>min 2179</t>
  </si>
  <si>
    <t>%</t>
  </si>
  <si>
    <t xml:space="preserve">Tilført </t>
  </si>
  <si>
    <t>Alder</t>
  </si>
  <si>
    <t>g TP/m2/år</t>
  </si>
  <si>
    <t>år</t>
  </si>
  <si>
    <t>Solbjerg ------------------------------------------------------</t>
  </si>
  <si>
    <t>Arresø</t>
  </si>
  <si>
    <t>g TN/m2/ÅR</t>
  </si>
  <si>
    <t>g TN/m2/år</t>
  </si>
  <si>
    <t>Procent retention</t>
  </si>
  <si>
    <t>Gennemsnit</t>
  </si>
  <si>
    <t>SD</t>
  </si>
  <si>
    <t>y</t>
  </si>
  <si>
    <t>Spildevand</t>
  </si>
  <si>
    <t>Tons P/år</t>
  </si>
  <si>
    <t xml:space="preserve">Input </t>
  </si>
  <si>
    <t>Tons N/år</t>
  </si>
  <si>
    <t>Year</t>
  </si>
  <si>
    <t>Solbjerg</t>
  </si>
  <si>
    <t>Tilført TP</t>
  </si>
  <si>
    <t>Retention TP</t>
  </si>
  <si>
    <t>Tilført TN</t>
  </si>
  <si>
    <t>Retention TN</t>
  </si>
  <si>
    <t>Procent retention TN</t>
  </si>
  <si>
    <t>type</t>
  </si>
  <si>
    <t>parameter</t>
  </si>
  <si>
    <t>Arresø sedimenter 1988 - tre stationer kun medtaget 0-10 cm</t>
  </si>
  <si>
    <t>DW %</t>
  </si>
  <si>
    <t>gløde %</t>
  </si>
  <si>
    <t>mg/g DW</t>
  </si>
  <si>
    <t>mg/gdw</t>
  </si>
  <si>
    <t>mg/cm3</t>
  </si>
  <si>
    <t>mg/cm2</t>
  </si>
  <si>
    <t>C/N</t>
  </si>
  <si>
    <t>N/P</t>
  </si>
  <si>
    <t>C/P</t>
  </si>
  <si>
    <t>St 1</t>
  </si>
  <si>
    <t>0-2 cm</t>
  </si>
  <si>
    <t>2 til 5 cm</t>
  </si>
  <si>
    <t>5 til 10 cm</t>
  </si>
  <si>
    <t>0-10 cm</t>
  </si>
  <si>
    <t>st 2</t>
  </si>
  <si>
    <t>st 3</t>
  </si>
  <si>
    <t>Snit 1-3</t>
  </si>
  <si>
    <t>g/m2</t>
  </si>
  <si>
    <t xml:space="preserve">TN </t>
  </si>
  <si>
    <t>gløde</t>
  </si>
  <si>
    <t>dw</t>
  </si>
  <si>
    <t>depth</t>
  </si>
  <si>
    <t>station</t>
  </si>
  <si>
    <t>Tilført_tn</t>
  </si>
  <si>
    <t>Retention_tn</t>
  </si>
  <si>
    <t>Tilført_tp</t>
  </si>
  <si>
    <t>Retention_tp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</si>
</sst>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removal (g/m2/y)</a:t>
            </a:r>
            <a:r>
              <a:rPr lang="en-US" baseline="0"/>
              <a:t> vs lake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Sheet1!$A$93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Sheet1!$B$92:$H$92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</c:numCache>
            </c:numRef>
          </c:xVal>
          <c:yVal>
            <c:numRef>
              <c:f>Sheet1!$B$93:$H$93</c:f>
              <c:numCache>
                <c:formatCode>General</c:formatCode>
                <c:ptCount val="7"/>
                <c:pt idx="0">
                  <c:v>24.2</c:v>
                </c:pt>
                <c:pt idx="1">
                  <c:v>13.91</c:v>
                </c:pt>
                <c:pt idx="2">
                  <c:v>-7.0000000000000007E-2</c:v>
                </c:pt>
                <c:pt idx="3">
                  <c:v>-0.5</c:v>
                </c:pt>
                <c:pt idx="4">
                  <c:v>1.2969999999999999</c:v>
                </c:pt>
                <c:pt idx="5">
                  <c:v>8.7799999999999994</c:v>
                </c:pt>
                <c:pt idx="6">
                  <c:v>11.29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97-4B67-B9EE-6A0B7AFAC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013816"/>
        <c:axId val="353012504"/>
      </c:scatterChart>
      <c:valAx>
        <c:axId val="35301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12504"/>
        <c:crosses val="autoZero"/>
        <c:crossBetween val="midCat"/>
      </c:valAx>
      <c:valAx>
        <c:axId val="35301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13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Arresø</a:t>
            </a:r>
            <a:r>
              <a:rPr lang="en-US" baseline="0"/>
              <a:t> </a:t>
            </a:r>
            <a:r>
              <a:rPr lang="en-US"/>
              <a:t>N input vs N removed (g N/m2/y)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Sheet1!$N$87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Sheet1!$O$86:$AC$86</c:f>
              <c:numCache>
                <c:formatCode>General</c:formatCode>
                <c:ptCount val="15"/>
                <c:pt idx="0">
                  <c:v>8.98</c:v>
                </c:pt>
                <c:pt idx="1">
                  <c:v>10.625</c:v>
                </c:pt>
                <c:pt idx="2">
                  <c:v>14.1</c:v>
                </c:pt>
                <c:pt idx="3">
                  <c:v>11.45</c:v>
                </c:pt>
                <c:pt idx="4">
                  <c:v>10.65</c:v>
                </c:pt>
                <c:pt idx="5">
                  <c:v>12.9</c:v>
                </c:pt>
                <c:pt idx="6">
                  <c:v>9.35</c:v>
                </c:pt>
                <c:pt idx="7">
                  <c:v>4.3250000000000002</c:v>
                </c:pt>
                <c:pt idx="8">
                  <c:v>4.4000000000000004</c:v>
                </c:pt>
                <c:pt idx="9">
                  <c:v>12.125</c:v>
                </c:pt>
                <c:pt idx="10">
                  <c:v>9.0350000000000001</c:v>
                </c:pt>
                <c:pt idx="11">
                  <c:v>7.7675000000000001</c:v>
                </c:pt>
                <c:pt idx="12">
                  <c:v>6.7675000000000001</c:v>
                </c:pt>
                <c:pt idx="13">
                  <c:v>10.025</c:v>
                </c:pt>
                <c:pt idx="14">
                  <c:v>6.125</c:v>
                </c:pt>
              </c:numCache>
            </c:numRef>
          </c:xVal>
          <c:yVal>
            <c:numRef>
              <c:f>Sheet1!$O$87:$AC$87</c:f>
              <c:numCache>
                <c:formatCode>General</c:formatCode>
                <c:ptCount val="15"/>
                <c:pt idx="0">
                  <c:v>6.5250000000000004</c:v>
                </c:pt>
                <c:pt idx="1">
                  <c:v>7.875</c:v>
                </c:pt>
                <c:pt idx="2">
                  <c:v>12.35</c:v>
                </c:pt>
                <c:pt idx="3">
                  <c:v>7.2750000000000004</c:v>
                </c:pt>
                <c:pt idx="4">
                  <c:v>7</c:v>
                </c:pt>
                <c:pt idx="5">
                  <c:v>5.45</c:v>
                </c:pt>
                <c:pt idx="6">
                  <c:v>4.1749999999999998</c:v>
                </c:pt>
                <c:pt idx="7">
                  <c:v>3.8</c:v>
                </c:pt>
                <c:pt idx="8">
                  <c:v>3.2749999999999999</c:v>
                </c:pt>
                <c:pt idx="9">
                  <c:v>7.5750000000000002</c:v>
                </c:pt>
                <c:pt idx="10">
                  <c:v>5.85</c:v>
                </c:pt>
                <c:pt idx="11">
                  <c:v>3.15</c:v>
                </c:pt>
                <c:pt idx="12">
                  <c:v>3.9249999999999998</c:v>
                </c:pt>
                <c:pt idx="13">
                  <c:v>5.6</c:v>
                </c:pt>
                <c:pt idx="14">
                  <c:v>3.0249999999999999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B-4418-9C53-5A106072D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417672"/>
        <c:axId val="462418328"/>
      </c:scatterChart>
      <c:valAx>
        <c:axId val="46241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8328"/>
        <c:crosses val="autoZero"/>
        <c:crossBetween val="midCat"/>
      </c:valAx>
      <c:valAx>
        <c:axId val="46241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7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Arresø, P retention,</a:t>
            </a:r>
            <a:r>
              <a:rPr lang="en-US" baseline="0"/>
              <a:t> g P/m2/y</a:t>
            </a:r>
            <a:r>
              <a:rPr lang="en-US"/>
              <a:t> vs retention time, years</a:t>
            </a:r>
          </a:p>
        </c:rich>
      </c:tx>
      <c:layout>
        <c:manualLayout>
          <c:xMode val="edge"/>
          <c:yMode val="edge"/>
          <c:x val="0.120062335958005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1146106736655E-2"/>
          <c:y val="0.19721055701370663"/>
          <c:w val="0.88264107611548559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Sheet1!$A$114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Sheet1!$B$113:$Q$113</c:f>
              <c:numCache>
                <c:formatCode>General</c:formatCode>
                <c:ptCount val="16"/>
                <c:pt idx="0">
                  <c:v>3.1</c:v>
                </c:pt>
                <c:pt idx="1">
                  <c:v>2.4390335305719919</c:v>
                </c:pt>
                <c:pt idx="2">
                  <c:v>1.6620833333333334</c:v>
                </c:pt>
                <c:pt idx="3">
                  <c:v>2.5602277432712217</c:v>
                </c:pt>
                <c:pt idx="4">
                  <c:v>2.8104318181818182</c:v>
                </c:pt>
                <c:pt idx="5">
                  <c:v>1.3724639289678138</c:v>
                </c:pt>
                <c:pt idx="6">
                  <c:v>1.5098778998778999</c:v>
                </c:pt>
                <c:pt idx="7">
                  <c:v>3.5739595375722542</c:v>
                </c:pt>
                <c:pt idx="8">
                  <c:v>2.944261904761905</c:v>
                </c:pt>
                <c:pt idx="9">
                  <c:v>1.4565253239104829</c:v>
                </c:pt>
                <c:pt idx="10">
                  <c:v>1.6946553378100591</c:v>
                </c:pt>
                <c:pt idx="11">
                  <c:v>1.7630310806957514</c:v>
                </c:pt>
                <c:pt idx="12">
                  <c:v>2.1283820998278831</c:v>
                </c:pt>
                <c:pt idx="13">
                  <c:v>1.345582154515778</c:v>
                </c:pt>
                <c:pt idx="14">
                  <c:v>1.9083179012345681</c:v>
                </c:pt>
                <c:pt idx="15">
                  <c:v>1.6313852242744065</c:v>
                </c:pt>
              </c:numCache>
            </c:numRef>
          </c:xVal>
          <c:yVal>
            <c:numRef>
              <c:f>Sheet1!$B$114:$Q$114</c:f>
              <c:numCache>
                <c:formatCode>General</c:formatCode>
                <c:ptCount val="16"/>
                <c:pt idx="0">
                  <c:v>0.32750000000000001</c:v>
                </c:pt>
                <c:pt idx="1">
                  <c:v>0.12</c:v>
                </c:pt>
                <c:pt idx="2">
                  <c:v>-3.4999999999999996E-2</c:v>
                </c:pt>
                <c:pt idx="3">
                  <c:v>-0.20499999999999999</c:v>
                </c:pt>
                <c:pt idx="4">
                  <c:v>-0.155</c:v>
                </c:pt>
                <c:pt idx="5">
                  <c:v>-0.50250000000000006</c:v>
                </c:pt>
                <c:pt idx="6">
                  <c:v>-0.36</c:v>
                </c:pt>
                <c:pt idx="7">
                  <c:v>8.7499999999999994E-2</c:v>
                </c:pt>
                <c:pt idx="8">
                  <c:v>2.7500000000000004E-2</c:v>
                </c:pt>
                <c:pt idx="9">
                  <c:v>-6.5000000000000002E-2</c:v>
                </c:pt>
                <c:pt idx="10">
                  <c:v>2.2499999999999999E-2</c:v>
                </c:pt>
                <c:pt idx="11">
                  <c:v>-0.14250000000000002</c:v>
                </c:pt>
                <c:pt idx="12">
                  <c:v>-0.05</c:v>
                </c:pt>
                <c:pt idx="13">
                  <c:v>-0.16750000000000001</c:v>
                </c:pt>
                <c:pt idx="14">
                  <c:v>-0.11750000000000001</c:v>
                </c:pt>
                <c:pt idx="15">
                  <c:v>1.2500000000000001E-2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E-4BC2-918C-48242BCE2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72816"/>
        <c:axId val="464472488"/>
      </c:scatterChart>
      <c:valAx>
        <c:axId val="4644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488"/>
        <c:crosses val="autoZero"/>
        <c:crossBetween val="midCat"/>
      </c:valAx>
      <c:valAx>
        <c:axId val="46447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spildevand,</a:t>
            </a:r>
            <a:r>
              <a:rPr lang="en-US" baseline="0"/>
              <a:t> blå, input, gul fra 1989 til 2004, tons/år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692038495188118E-2"/>
          <c:y val="0.20817184310294545"/>
          <c:w val="0.88464129483814524"/>
          <c:h val="0.7075769174686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Sheet1!$E$135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Sheet1!$F$134:$U$134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Sheet1!$F$135:$U$135</c:f>
              <c:numCache>
                <c:formatCode>General</c:formatCode>
                <c:ptCount val="16"/>
                <c:pt idx="0">
                  <c:v>30</c:v>
                </c:pt>
                <c:pt idx="1">
                  <c:v>25.7</c:v>
                </c:pt>
                <c:pt idx="2">
                  <c:v>16.7</c:v>
                </c:pt>
                <c:pt idx="3">
                  <c:v>13.8</c:v>
                </c:pt>
                <c:pt idx="4">
                  <c:v>11.6</c:v>
                </c:pt>
                <c:pt idx="5">
                  <c:v>12.7</c:v>
                </c:pt>
                <c:pt idx="6">
                  <c:v>8.3000000000000007</c:v>
                </c:pt>
                <c:pt idx="7">
                  <c:v>5.5</c:v>
                </c:pt>
                <c:pt idx="8">
                  <c:v>5.7</c:v>
                </c:pt>
                <c:pt idx="9">
                  <c:v>6</c:v>
                </c:pt>
                <c:pt idx="10">
                  <c:v>5.6</c:v>
                </c:pt>
                <c:pt idx="11">
                  <c:v>4.9000000000000004</c:v>
                </c:pt>
                <c:pt idx="12">
                  <c:v>4.3</c:v>
                </c:pt>
                <c:pt idx="13">
                  <c:v>6.6</c:v>
                </c:pt>
                <c:pt idx="14">
                  <c:v>4.5</c:v>
                </c:pt>
                <c:pt idx="1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F-453A-A5FC-558FC364A00F}"/>
            </c:ext>
          </c:extLst>
        </c:ser>
        <c:ser>
          <c:idx val="1"/>
          <c:order val="1"/>
          <c:tx>
            <c:strRef>
              <c:f>Sheet1!$E$136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Sheet1!$F$134:$U$134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Sheet1!$F$136:$U$136</c:f>
              <c:numCache>
                <c:formatCode>General</c:formatCode>
                <c:ptCount val="16"/>
                <c:pt idx="0">
                  <c:v>27.1</c:v>
                </c:pt>
                <c:pt idx="1">
                  <c:v>27.8</c:v>
                </c:pt>
                <c:pt idx="2">
                  <c:v>23.6</c:v>
                </c:pt>
                <c:pt idx="3">
                  <c:v>11.6</c:v>
                </c:pt>
                <c:pt idx="4">
                  <c:v>10.9</c:v>
                </c:pt>
                <c:pt idx="5">
                  <c:v>11.2</c:v>
                </c:pt>
                <c:pt idx="6">
                  <c:v>8.5</c:v>
                </c:pt>
                <c:pt idx="7">
                  <c:v>6.5</c:v>
                </c:pt>
                <c:pt idx="8">
                  <c:v>6.1</c:v>
                </c:pt>
                <c:pt idx="9">
                  <c:v>10.5</c:v>
                </c:pt>
                <c:pt idx="10">
                  <c:v>10</c:v>
                </c:pt>
                <c:pt idx="11">
                  <c:v>8.9</c:v>
                </c:pt>
                <c:pt idx="12">
                  <c:v>6.7</c:v>
                </c:pt>
                <c:pt idx="13">
                  <c:v>12.5</c:v>
                </c:pt>
                <c:pt idx="14">
                  <c:v>8.1</c:v>
                </c:pt>
                <c:pt idx="1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F-453A-A5FC-558FC364A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72816"/>
        <c:axId val="464478392"/>
      </c:scatterChart>
      <c:valAx>
        <c:axId val="4644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8392"/>
        <c:crosses val="autoZero"/>
        <c:crossBetween val="midCat"/>
      </c:valAx>
      <c:valAx>
        <c:axId val="46447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Spildevand,</a:t>
            </a:r>
            <a:r>
              <a:rPr lang="en-US" baseline="0"/>
              <a:t> gra, input gul Tons N/år TN </a:t>
            </a:r>
            <a:r>
              <a:rPr lang="en-US"/>
              <a:t>1989-2003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8560185185185185"/>
          <c:w val="0.87753018372703417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Sheet1!$C$157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Sheet1!$D$157:$R$157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2-453C-846B-C1DEC12839CC}"/>
            </c:ext>
          </c:extLst>
        </c:ser>
        <c:ser>
          <c:idx val="1"/>
          <c:order val="1"/>
          <c:tx>
            <c:strRef>
              <c:f>Sheet1!$C$158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Sheet1!$D$158:$R$158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22-453C-846B-C1DEC12839CC}"/>
            </c:ext>
          </c:extLst>
        </c:ser>
        <c:ser>
          <c:idx val="2"/>
          <c:order val="2"/>
          <c:tx>
            <c:strRef>
              <c:f>Sheet1!$C$159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Sheet1!$D$159:$R$159</c:f>
              <c:numCache>
                <c:formatCode>General</c:formatCode>
                <c:ptCount val="15"/>
                <c:pt idx="0">
                  <c:v>168</c:v>
                </c:pt>
                <c:pt idx="1">
                  <c:v>182</c:v>
                </c:pt>
                <c:pt idx="2">
                  <c:v>149</c:v>
                </c:pt>
                <c:pt idx="3">
                  <c:v>131</c:v>
                </c:pt>
                <c:pt idx="4">
                  <c:v>97</c:v>
                </c:pt>
                <c:pt idx="5">
                  <c:v>82.5</c:v>
                </c:pt>
                <c:pt idx="6">
                  <c:v>63.3</c:v>
                </c:pt>
                <c:pt idx="7">
                  <c:v>51.5</c:v>
                </c:pt>
                <c:pt idx="8">
                  <c:v>49.2</c:v>
                </c:pt>
                <c:pt idx="9">
                  <c:v>50.8</c:v>
                </c:pt>
                <c:pt idx="10">
                  <c:v>57.1</c:v>
                </c:pt>
                <c:pt idx="11">
                  <c:v>42.1</c:v>
                </c:pt>
                <c:pt idx="12">
                  <c:v>48.3</c:v>
                </c:pt>
                <c:pt idx="13">
                  <c:v>58.3</c:v>
                </c:pt>
                <c:pt idx="14">
                  <c:v>42.4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22-453C-846B-C1DEC12839CC}"/>
            </c:ext>
          </c:extLst>
        </c:ser>
        <c:ser>
          <c:idx val="3"/>
          <c:order val="3"/>
          <c:tx>
            <c:strRef>
              <c:f>Sheet1!$C$160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Sheet1!$D$160:$R$160</c:f>
              <c:numCache>
                <c:formatCode>General</c:formatCode>
                <c:ptCount val="15"/>
                <c:pt idx="0">
                  <c:v>359.2</c:v>
                </c:pt>
                <c:pt idx="1">
                  <c:v>425.2</c:v>
                </c:pt>
                <c:pt idx="2">
                  <c:v>564</c:v>
                </c:pt>
                <c:pt idx="3">
                  <c:v>468</c:v>
                </c:pt>
                <c:pt idx="4">
                  <c:v>426</c:v>
                </c:pt>
                <c:pt idx="5">
                  <c:v>516</c:v>
                </c:pt>
                <c:pt idx="6">
                  <c:v>374</c:v>
                </c:pt>
                <c:pt idx="7">
                  <c:v>173</c:v>
                </c:pt>
                <c:pt idx="8">
                  <c:v>176</c:v>
                </c:pt>
                <c:pt idx="9">
                  <c:v>485</c:v>
                </c:pt>
                <c:pt idx="10">
                  <c:v>261</c:v>
                </c:pt>
                <c:pt idx="11">
                  <c:v>311</c:v>
                </c:pt>
                <c:pt idx="12">
                  <c:v>271</c:v>
                </c:pt>
                <c:pt idx="13">
                  <c:v>401</c:v>
                </c:pt>
                <c:pt idx="14">
                  <c:v>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22-453C-846B-C1DEC1283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546280"/>
        <c:axId val="465548576"/>
      </c:scatterChart>
      <c:valAx>
        <c:axId val="4655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8576"/>
        <c:crosses val="autoZero"/>
        <c:crossBetween val="midCat"/>
      </c:valAx>
      <c:valAx>
        <c:axId val="4655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6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93</xdr:row>
      <xdr:rowOff>146050</xdr:rowOff>
    </xdr:from>
    <xdr:to>
      <xdr:col>8</xdr:col>
      <xdr:colOff>66675</xdr:colOff>
      <xdr:row>108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587375</xdr:colOff>
      <xdr:row>88</xdr:row>
      <xdr:rowOff>50800</xdr:rowOff>
    </xdr:from>
    <xdr:to>
      <xdr:col>25</xdr:col>
      <xdr:colOff>206375</xdr:colOff>
      <xdr:row>103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542925</xdr:colOff>
      <xdr:row>115</xdr:row>
      <xdr:rowOff>57150</xdr:rowOff>
    </xdr:from>
    <xdr:to>
      <xdr:col>8</xdr:col>
      <xdr:colOff>238125</xdr:colOff>
      <xdr:row>130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530225</xdr:colOff>
      <xdr:row>138</xdr:row>
      <xdr:rowOff>120650</xdr:rowOff>
    </xdr:from>
    <xdr:to>
      <xdr:col>15</xdr:col>
      <xdr:colOff>149225</xdr:colOff>
      <xdr:row>153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530225</xdr:colOff>
      <xdr:row>161</xdr:row>
      <xdr:rowOff>38100</xdr:rowOff>
    </xdr:from>
    <xdr:to>
      <xdr:col>12</xdr:col>
      <xdr:colOff>225425</xdr:colOff>
      <xdr:row>176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0"/>
  <sheetViews>
    <sheetView workbookViewId="0">
      <selection activeCell="G11" sqref="G11"/>
    </sheetView>
  </sheetViews>
  <sheetFormatPr baseColWidth="10" defaultColWidth="8.83203125" defaultRowHeight="15" x14ac:dyDescent="0.2"/>
  <cols>
    <col min="14" max="14" width="9.83203125" bestFit="1" customWidth="1"/>
    <col min="19" max="19" width="9.83203125" bestFit="1" customWidth="1"/>
  </cols>
  <sheetData>
    <row r="1" spans="1:14" x14ac:dyDescent="0.2">
      <c r="A1" t="s">
        <v>0</v>
      </c>
      <c r="J1" t="s">
        <v>10</v>
      </c>
      <c r="L1">
        <v>1941</v>
      </c>
      <c r="M1" t="s">
        <v>20</v>
      </c>
      <c r="N1" t="s">
        <v>22</v>
      </c>
    </row>
    <row r="2" spans="1:14" x14ac:dyDescent="0.2">
      <c r="A2" t="s">
        <v>7</v>
      </c>
      <c r="B2" t="s">
        <v>8</v>
      </c>
      <c r="J2" t="s">
        <v>11</v>
      </c>
      <c r="L2" t="s">
        <v>21</v>
      </c>
      <c r="M2" t="s">
        <v>21</v>
      </c>
    </row>
    <row r="3" spans="1:14" x14ac:dyDescent="0.2">
      <c r="A3" t="s">
        <v>1</v>
      </c>
      <c r="B3">
        <v>1938</v>
      </c>
      <c r="C3" t="s">
        <v>2</v>
      </c>
      <c r="D3">
        <v>1976</v>
      </c>
      <c r="F3" t="s">
        <v>9</v>
      </c>
      <c r="G3">
        <v>1976</v>
      </c>
      <c r="J3" t="s">
        <v>12</v>
      </c>
      <c r="L3" t="s">
        <v>21</v>
      </c>
      <c r="M3" t="s">
        <v>21</v>
      </c>
    </row>
    <row r="4" spans="1:14" x14ac:dyDescent="0.2">
      <c r="A4" t="s">
        <v>3</v>
      </c>
      <c r="B4">
        <v>30</v>
      </c>
      <c r="C4">
        <v>20</v>
      </c>
      <c r="D4">
        <v>29.6</v>
      </c>
      <c r="G4">
        <v>9.65</v>
      </c>
      <c r="J4" t="s">
        <v>13</v>
      </c>
      <c r="L4" t="s">
        <v>21</v>
      </c>
    </row>
    <row r="5" spans="1:14" x14ac:dyDescent="0.2">
      <c r="A5" t="s">
        <v>4</v>
      </c>
      <c r="C5">
        <v>15</v>
      </c>
      <c r="D5">
        <v>11</v>
      </c>
      <c r="G5">
        <v>9.35</v>
      </c>
      <c r="J5" t="s">
        <v>14</v>
      </c>
      <c r="L5" t="s">
        <v>21</v>
      </c>
    </row>
    <row r="6" spans="1:14" x14ac:dyDescent="0.2">
      <c r="A6" t="s">
        <v>5</v>
      </c>
      <c r="C6">
        <v>25</v>
      </c>
      <c r="D6">
        <v>38</v>
      </c>
      <c r="G6">
        <v>9.9499999999999993</v>
      </c>
      <c r="J6" t="s">
        <v>15</v>
      </c>
      <c r="L6" t="s">
        <v>21</v>
      </c>
    </row>
    <row r="7" spans="1:14" x14ac:dyDescent="0.2">
      <c r="A7" t="s">
        <v>6</v>
      </c>
      <c r="C7">
        <v>3</v>
      </c>
      <c r="D7">
        <v>10</v>
      </c>
      <c r="G7">
        <v>10</v>
      </c>
      <c r="J7" t="s">
        <v>16</v>
      </c>
      <c r="L7" t="s">
        <v>21</v>
      </c>
      <c r="M7" t="s">
        <v>21</v>
      </c>
    </row>
    <row r="8" spans="1:14" x14ac:dyDescent="0.2">
      <c r="J8" t="s">
        <v>17</v>
      </c>
      <c r="L8" t="s">
        <v>21</v>
      </c>
      <c r="M8" t="s">
        <v>21</v>
      </c>
    </row>
    <row r="9" spans="1:14" x14ac:dyDescent="0.2">
      <c r="J9" t="s">
        <v>18</v>
      </c>
      <c r="L9" t="s">
        <v>21</v>
      </c>
    </row>
    <row r="10" spans="1:14" x14ac:dyDescent="0.2">
      <c r="J10" t="s">
        <v>19</v>
      </c>
      <c r="L10" t="s">
        <v>21</v>
      </c>
    </row>
    <row r="11" spans="1:14" x14ac:dyDescent="0.2">
      <c r="A11">
        <v>1976</v>
      </c>
      <c r="B11" t="s">
        <v>32</v>
      </c>
      <c r="C11">
        <v>1976</v>
      </c>
      <c r="D11" t="s">
        <v>38</v>
      </c>
      <c r="G11">
        <v>1976</v>
      </c>
      <c r="H11" t="s">
        <v>43</v>
      </c>
      <c r="I11" t="s">
        <v>45</v>
      </c>
    </row>
    <row r="12" spans="1:14" x14ac:dyDescent="0.2">
      <c r="A12" t="s">
        <v>29</v>
      </c>
      <c r="B12" t="s">
        <v>33</v>
      </c>
      <c r="D12" t="s">
        <v>33</v>
      </c>
      <c r="E12" t="s">
        <v>33</v>
      </c>
      <c r="G12" t="s">
        <v>39</v>
      </c>
      <c r="H12" t="s">
        <v>44</v>
      </c>
      <c r="J12" t="s">
        <v>46</v>
      </c>
    </row>
    <row r="13" spans="1:14" x14ac:dyDescent="0.2">
      <c r="A13" t="s">
        <v>23</v>
      </c>
      <c r="B13">
        <v>1.54</v>
      </c>
      <c r="D13">
        <v>3.22</v>
      </c>
      <c r="E13">
        <v>3.22</v>
      </c>
      <c r="G13" t="s">
        <v>40</v>
      </c>
      <c r="H13">
        <v>360</v>
      </c>
      <c r="J13">
        <v>900</v>
      </c>
    </row>
    <row r="14" spans="1:14" x14ac:dyDescent="0.2">
      <c r="A14" t="s">
        <v>24</v>
      </c>
      <c r="B14">
        <v>1.71</v>
      </c>
      <c r="D14">
        <v>3.09</v>
      </c>
      <c r="E14">
        <f>12.6*0.219</f>
        <v>2.7593999999999999</v>
      </c>
      <c r="H14">
        <v>480</v>
      </c>
    </row>
    <row r="15" spans="1:14" x14ac:dyDescent="0.2">
      <c r="A15" t="s">
        <v>25</v>
      </c>
      <c r="B15">
        <v>1.51</v>
      </c>
      <c r="D15">
        <v>3.07</v>
      </c>
      <c r="E15">
        <f>11*0.219</f>
        <v>2.4089999999999998</v>
      </c>
      <c r="G15" t="s">
        <v>34</v>
      </c>
      <c r="H15">
        <v>300</v>
      </c>
      <c r="J15">
        <v>250</v>
      </c>
    </row>
    <row r="16" spans="1:14" x14ac:dyDescent="0.2">
      <c r="A16" t="s">
        <v>34</v>
      </c>
      <c r="B16">
        <v>1.51</v>
      </c>
      <c r="D16">
        <v>3.13</v>
      </c>
      <c r="E16">
        <v>2.42</v>
      </c>
      <c r="H16">
        <v>140</v>
      </c>
    </row>
    <row r="17" spans="1:10" x14ac:dyDescent="0.2">
      <c r="A17" t="s">
        <v>35</v>
      </c>
      <c r="B17">
        <v>1</v>
      </c>
      <c r="D17">
        <v>2.2559999999999998</v>
      </c>
      <c r="E17">
        <f>7.1*0.219</f>
        <v>1.5548999999999999</v>
      </c>
      <c r="G17" t="s">
        <v>35</v>
      </c>
      <c r="H17">
        <v>180</v>
      </c>
      <c r="J17">
        <v>750</v>
      </c>
    </row>
    <row r="18" spans="1:10" x14ac:dyDescent="0.2">
      <c r="A18" t="s">
        <v>26</v>
      </c>
      <c r="B18">
        <v>1.175</v>
      </c>
      <c r="D18">
        <v>2.89</v>
      </c>
      <c r="E18">
        <f>12.2*0.219</f>
        <v>2.6717999999999997</v>
      </c>
      <c r="H18">
        <v>100</v>
      </c>
      <c r="J18">
        <v>450</v>
      </c>
    </row>
    <row r="19" spans="1:10" x14ac:dyDescent="0.2">
      <c r="A19" t="s">
        <v>27</v>
      </c>
      <c r="B19">
        <v>1.35</v>
      </c>
      <c r="D19">
        <v>2.91</v>
      </c>
      <c r="E19">
        <f>11.9*0.219</f>
        <v>2.6061000000000001</v>
      </c>
      <c r="H19">
        <v>40</v>
      </c>
      <c r="J19">
        <v>600</v>
      </c>
    </row>
    <row r="20" spans="1:10" x14ac:dyDescent="0.2">
      <c r="A20" t="s">
        <v>28</v>
      </c>
      <c r="B20">
        <v>1.55</v>
      </c>
      <c r="G20" t="s">
        <v>41</v>
      </c>
      <c r="H20">
        <v>100</v>
      </c>
      <c r="J20">
        <v>700</v>
      </c>
    </row>
    <row r="21" spans="1:10" x14ac:dyDescent="0.2">
      <c r="A21" t="s">
        <v>30</v>
      </c>
      <c r="B21">
        <v>1.45</v>
      </c>
      <c r="D21">
        <v>3.1760000000000002</v>
      </c>
      <c r="E21">
        <f>14.5*0.219</f>
        <v>3.1755</v>
      </c>
      <c r="H21">
        <v>140</v>
      </c>
      <c r="J21">
        <v>150</v>
      </c>
    </row>
    <row r="22" spans="1:10" x14ac:dyDescent="0.2">
      <c r="A22" t="s">
        <v>31</v>
      </c>
      <c r="D22">
        <v>3.0659999999999998</v>
      </c>
      <c r="E22">
        <f>14*0.219</f>
        <v>3.0659999999999998</v>
      </c>
      <c r="G22" t="s">
        <v>42</v>
      </c>
      <c r="H22">
        <v>280</v>
      </c>
      <c r="J22">
        <v>200</v>
      </c>
    </row>
    <row r="23" spans="1:10" x14ac:dyDescent="0.2">
      <c r="A23" t="s">
        <v>36</v>
      </c>
      <c r="B23">
        <v>1.5249999999999999</v>
      </c>
      <c r="D23">
        <v>3.1970000000000001</v>
      </c>
      <c r="E23">
        <f>14.6*0.219</f>
        <v>3.1974</v>
      </c>
      <c r="H23">
        <v>300</v>
      </c>
    </row>
    <row r="24" spans="1:10" x14ac:dyDescent="0.2">
      <c r="A24" t="s">
        <v>37</v>
      </c>
      <c r="B24">
        <v>1.45</v>
      </c>
      <c r="D24">
        <v>3</v>
      </c>
      <c r="E24">
        <f>13.7*0.219</f>
        <v>3.0002999999999997</v>
      </c>
      <c r="G24" t="s">
        <v>28</v>
      </c>
      <c r="H24">
        <v>360</v>
      </c>
      <c r="J24">
        <v>100</v>
      </c>
    </row>
    <row r="25" spans="1:10" x14ac:dyDescent="0.2">
      <c r="A25" t="s">
        <v>23</v>
      </c>
      <c r="B25">
        <v>1.65</v>
      </c>
      <c r="H25">
        <v>380</v>
      </c>
      <c r="J25">
        <v>300</v>
      </c>
    </row>
    <row r="26" spans="1:10" x14ac:dyDescent="0.2">
      <c r="G26" t="s">
        <v>30</v>
      </c>
      <c r="H26">
        <v>420</v>
      </c>
      <c r="J26">
        <v>250</v>
      </c>
    </row>
    <row r="27" spans="1:10" x14ac:dyDescent="0.2">
      <c r="H27">
        <v>620</v>
      </c>
      <c r="J27">
        <v>350</v>
      </c>
    </row>
    <row r="28" spans="1:10" x14ac:dyDescent="0.2">
      <c r="G28" t="s">
        <v>31</v>
      </c>
      <c r="H28">
        <v>600</v>
      </c>
      <c r="J28">
        <v>200</v>
      </c>
    </row>
    <row r="29" spans="1:10" x14ac:dyDescent="0.2">
      <c r="G29" t="s">
        <v>36</v>
      </c>
      <c r="H29">
        <v>600</v>
      </c>
      <c r="J29">
        <v>900</v>
      </c>
    </row>
    <row r="30" spans="1:10" x14ac:dyDescent="0.2">
      <c r="G30" t="s">
        <v>37</v>
      </c>
      <c r="H30">
        <v>720</v>
      </c>
      <c r="J30">
        <v>1100</v>
      </c>
    </row>
    <row r="35" spans="1:11" x14ac:dyDescent="0.2">
      <c r="A35" t="s">
        <v>47</v>
      </c>
    </row>
    <row r="36" spans="1:11" x14ac:dyDescent="0.2">
      <c r="G36">
        <v>1994</v>
      </c>
      <c r="H36">
        <v>1995</v>
      </c>
      <c r="I36">
        <v>1996</v>
      </c>
      <c r="J36">
        <v>1997</v>
      </c>
      <c r="K36">
        <v>1998</v>
      </c>
    </row>
    <row r="37" spans="1:11" x14ac:dyDescent="0.2">
      <c r="A37" t="s">
        <v>48</v>
      </c>
      <c r="C37" t="s">
        <v>49</v>
      </c>
      <c r="D37" t="s">
        <v>50</v>
      </c>
      <c r="E37" t="s">
        <v>51</v>
      </c>
      <c r="G37">
        <v>6867</v>
      </c>
      <c r="H37">
        <v>4234</v>
      </c>
      <c r="I37">
        <v>3012</v>
      </c>
      <c r="J37">
        <v>2058</v>
      </c>
      <c r="K37">
        <v>2166</v>
      </c>
    </row>
    <row r="38" spans="1:11" x14ac:dyDescent="0.2">
      <c r="D38" t="s">
        <v>52</v>
      </c>
      <c r="E38" t="s">
        <v>51</v>
      </c>
      <c r="G38">
        <v>59824</v>
      </c>
      <c r="H38">
        <v>48282</v>
      </c>
      <c r="I38">
        <v>42971</v>
      </c>
      <c r="J38">
        <v>41947</v>
      </c>
      <c r="K38">
        <v>37447</v>
      </c>
    </row>
    <row r="40" spans="1:11" x14ac:dyDescent="0.2">
      <c r="A40" t="s">
        <v>53</v>
      </c>
      <c r="D40" t="s">
        <v>50</v>
      </c>
      <c r="G40">
        <v>1708</v>
      </c>
      <c r="H40">
        <v>1618</v>
      </c>
      <c r="I40">
        <v>968</v>
      </c>
      <c r="J40">
        <v>1706</v>
      </c>
      <c r="K40">
        <v>1646</v>
      </c>
    </row>
    <row r="41" spans="1:11" x14ac:dyDescent="0.2">
      <c r="D41" t="s">
        <v>52</v>
      </c>
      <c r="G41">
        <v>6599</v>
      </c>
      <c r="H41">
        <v>6635</v>
      </c>
      <c r="I41">
        <v>3945</v>
      </c>
      <c r="J41">
        <v>6872</v>
      </c>
      <c r="K41">
        <v>6470</v>
      </c>
    </row>
    <row r="43" spans="1:11" x14ac:dyDescent="0.2">
      <c r="A43" t="s">
        <v>54</v>
      </c>
      <c r="D43" t="s">
        <v>50</v>
      </c>
      <c r="G43">
        <v>3493</v>
      </c>
      <c r="H43">
        <v>1880</v>
      </c>
      <c r="I43">
        <v>-1374</v>
      </c>
      <c r="J43">
        <v>-309</v>
      </c>
      <c r="K43">
        <v>557</v>
      </c>
    </row>
    <row r="44" spans="1:11" x14ac:dyDescent="0.2">
      <c r="D44" t="s">
        <v>52</v>
      </c>
      <c r="G44">
        <v>30167</v>
      </c>
      <c r="H44">
        <v>13708</v>
      </c>
      <c r="I44">
        <v>-4261</v>
      </c>
      <c r="J44" t="s">
        <v>74</v>
      </c>
      <c r="K44">
        <v>21774</v>
      </c>
    </row>
    <row r="46" spans="1:11" x14ac:dyDescent="0.2">
      <c r="A46" t="s">
        <v>61</v>
      </c>
      <c r="D46" t="s">
        <v>55</v>
      </c>
      <c r="G46">
        <v>12703</v>
      </c>
      <c r="H46">
        <v>7737</v>
      </c>
      <c r="I46">
        <v>2631</v>
      </c>
      <c r="J46">
        <v>1882</v>
      </c>
      <c r="K46">
        <v>2341</v>
      </c>
    </row>
    <row r="47" spans="1:11" x14ac:dyDescent="0.2">
      <c r="D47" t="s">
        <v>52</v>
      </c>
      <c r="G47">
        <v>97250</v>
      </c>
      <c r="H47">
        <v>69286</v>
      </c>
      <c r="I47">
        <v>43315</v>
      </c>
      <c r="J47">
        <v>32642</v>
      </c>
      <c r="K47">
        <v>55224</v>
      </c>
    </row>
    <row r="49" spans="1:11" x14ac:dyDescent="0.2">
      <c r="A49" t="s">
        <v>56</v>
      </c>
      <c r="D49" t="s">
        <v>50</v>
      </c>
      <c r="J49">
        <v>1580</v>
      </c>
      <c r="K49">
        <v>2033</v>
      </c>
    </row>
    <row r="50" spans="1:11" x14ac:dyDescent="0.2">
      <c r="D50" t="s">
        <v>52</v>
      </c>
      <c r="J50">
        <v>13658</v>
      </c>
      <c r="K50">
        <v>11127</v>
      </c>
    </row>
    <row r="52" spans="1:11" x14ac:dyDescent="0.2">
      <c r="A52" t="s">
        <v>57</v>
      </c>
      <c r="D52" t="s">
        <v>58</v>
      </c>
      <c r="E52" t="s">
        <v>60</v>
      </c>
      <c r="G52">
        <v>17405</v>
      </c>
      <c r="H52">
        <v>13322</v>
      </c>
      <c r="I52">
        <v>7565</v>
      </c>
      <c r="J52">
        <v>8021</v>
      </c>
      <c r="K52">
        <v>16006</v>
      </c>
    </row>
    <row r="53" spans="1:11" x14ac:dyDescent="0.2">
      <c r="D53" t="s">
        <v>59</v>
      </c>
      <c r="G53">
        <v>18270</v>
      </c>
      <c r="H53">
        <v>14871</v>
      </c>
      <c r="I53">
        <v>8894</v>
      </c>
      <c r="J53">
        <v>8908</v>
      </c>
      <c r="K53">
        <v>17711</v>
      </c>
    </row>
    <row r="55" spans="1:11" x14ac:dyDescent="0.2">
      <c r="A55" t="s">
        <v>64</v>
      </c>
      <c r="E55" t="s">
        <v>65</v>
      </c>
      <c r="G55">
        <v>4.6100000000000003</v>
      </c>
      <c r="H55">
        <v>5.67</v>
      </c>
      <c r="I55">
        <v>9.48</v>
      </c>
      <c r="J55">
        <v>9.4600000000000009</v>
      </c>
      <c r="K55">
        <v>4.7</v>
      </c>
    </row>
    <row r="57" spans="1:11" x14ac:dyDescent="0.2">
      <c r="A57" t="s">
        <v>62</v>
      </c>
      <c r="D57" t="s">
        <v>50</v>
      </c>
      <c r="E57" t="s">
        <v>51</v>
      </c>
      <c r="G57">
        <v>3590</v>
      </c>
      <c r="H57">
        <v>3148</v>
      </c>
      <c r="I57">
        <v>2656</v>
      </c>
      <c r="J57">
        <v>1709</v>
      </c>
      <c r="K57">
        <v>1918</v>
      </c>
    </row>
    <row r="58" spans="1:11" x14ac:dyDescent="0.2">
      <c r="D58" t="s">
        <v>52</v>
      </c>
      <c r="G58">
        <v>74500</v>
      </c>
      <c r="H58">
        <v>57173</v>
      </c>
      <c r="I58">
        <v>33396</v>
      </c>
      <c r="J58">
        <v>27637</v>
      </c>
      <c r="K58">
        <v>54081</v>
      </c>
    </row>
    <row r="60" spans="1:11" x14ac:dyDescent="0.2">
      <c r="A60" t="s">
        <v>63</v>
      </c>
      <c r="D60" t="s">
        <v>50</v>
      </c>
      <c r="E60" t="s">
        <v>51</v>
      </c>
      <c r="G60">
        <v>8976</v>
      </c>
      <c r="H60">
        <v>4592</v>
      </c>
      <c r="I60">
        <v>-22</v>
      </c>
      <c r="J60">
        <v>176</v>
      </c>
      <c r="K60">
        <v>428</v>
      </c>
    </row>
    <row r="61" spans="1:11" x14ac:dyDescent="0.2">
      <c r="D61" t="s">
        <v>52</v>
      </c>
      <c r="G61">
        <v>23383</v>
      </c>
      <c r="H61">
        <v>12607</v>
      </c>
      <c r="I61">
        <v>7113</v>
      </c>
      <c r="J61">
        <v>5500</v>
      </c>
      <c r="K61">
        <v>1803</v>
      </c>
    </row>
    <row r="63" spans="1:11" x14ac:dyDescent="0.2">
      <c r="A63" t="s">
        <v>63</v>
      </c>
      <c r="D63" t="s">
        <v>50</v>
      </c>
      <c r="E63" t="s">
        <v>72</v>
      </c>
      <c r="G63">
        <v>24.2</v>
      </c>
      <c r="H63">
        <v>13.91</v>
      </c>
      <c r="I63">
        <v>-7.0000000000000007E-2</v>
      </c>
      <c r="J63">
        <v>0.5</v>
      </c>
      <c r="K63">
        <v>1.2969999999999999</v>
      </c>
    </row>
    <row r="64" spans="1:11" x14ac:dyDescent="0.2">
      <c r="D64" t="s">
        <v>52</v>
      </c>
      <c r="G64">
        <v>70.900000000000006</v>
      </c>
      <c r="H64">
        <v>38.200000000000003</v>
      </c>
      <c r="I64">
        <v>21.5</v>
      </c>
      <c r="J64">
        <v>16.600000000000001</v>
      </c>
      <c r="K64">
        <v>5.46</v>
      </c>
    </row>
    <row r="66" spans="1:32" x14ac:dyDescent="0.2">
      <c r="A66" t="s">
        <v>66</v>
      </c>
      <c r="D66" t="s">
        <v>50</v>
      </c>
      <c r="E66" t="s">
        <v>67</v>
      </c>
      <c r="G66">
        <v>71.400000000000006</v>
      </c>
      <c r="H66">
        <v>59.3</v>
      </c>
      <c r="I66">
        <v>-0.8</v>
      </c>
      <c r="J66">
        <v>9.3000000000000007</v>
      </c>
      <c r="K66">
        <v>18.3</v>
      </c>
    </row>
    <row r="67" spans="1:32" x14ac:dyDescent="0.2">
      <c r="D67" t="s">
        <v>52</v>
      </c>
      <c r="G67">
        <v>23.89</v>
      </c>
      <c r="H67">
        <v>18.100000000000001</v>
      </c>
      <c r="I67">
        <v>16.239999999999998</v>
      </c>
      <c r="J67">
        <v>16.600000000000001</v>
      </c>
      <c r="K67">
        <v>3.2</v>
      </c>
    </row>
    <row r="69" spans="1:32" x14ac:dyDescent="0.2">
      <c r="A69" t="s">
        <v>68</v>
      </c>
      <c r="D69" t="s">
        <v>50</v>
      </c>
      <c r="E69" t="s">
        <v>72</v>
      </c>
      <c r="J69">
        <v>8.7799999999999994</v>
      </c>
      <c r="K69">
        <v>11.29</v>
      </c>
    </row>
    <row r="70" spans="1:32" x14ac:dyDescent="0.2">
      <c r="D70" t="s">
        <v>52</v>
      </c>
      <c r="J70">
        <v>75.88</v>
      </c>
      <c r="K70">
        <v>61.8</v>
      </c>
    </row>
    <row r="72" spans="1:32" x14ac:dyDescent="0.2">
      <c r="A72" t="s">
        <v>69</v>
      </c>
      <c r="D72" t="s">
        <v>50</v>
      </c>
      <c r="E72" t="s">
        <v>75</v>
      </c>
      <c r="J72">
        <v>42</v>
      </c>
      <c r="K72">
        <v>52.8</v>
      </c>
    </row>
    <row r="73" spans="1:32" x14ac:dyDescent="0.2">
      <c r="D73" t="s">
        <v>52</v>
      </c>
      <c r="J73">
        <v>35</v>
      </c>
      <c r="K73">
        <v>25.3</v>
      </c>
    </row>
    <row r="75" spans="1:32" x14ac:dyDescent="0.2">
      <c r="A75" t="s">
        <v>70</v>
      </c>
      <c r="B75" t="s">
        <v>71</v>
      </c>
      <c r="D75" t="s">
        <v>50</v>
      </c>
      <c r="E75" t="s">
        <v>72</v>
      </c>
      <c r="G75">
        <v>36.58</v>
      </c>
      <c r="H75">
        <v>23.44</v>
      </c>
      <c r="I75">
        <v>7.97</v>
      </c>
      <c r="J75">
        <v>5.7</v>
      </c>
      <c r="K75">
        <v>7.09</v>
      </c>
    </row>
    <row r="76" spans="1:32" x14ac:dyDescent="0.2">
      <c r="D76" t="s">
        <v>52</v>
      </c>
      <c r="G76">
        <v>294.7</v>
      </c>
      <c r="H76">
        <v>209.9</v>
      </c>
      <c r="I76">
        <v>130.94999999999999</v>
      </c>
      <c r="J76">
        <v>98.92</v>
      </c>
      <c r="K76">
        <v>167.3</v>
      </c>
    </row>
    <row r="78" spans="1:32" x14ac:dyDescent="0.2">
      <c r="A78" t="s">
        <v>70</v>
      </c>
      <c r="B78" t="s">
        <v>73</v>
      </c>
      <c r="D78" t="s">
        <v>50</v>
      </c>
      <c r="E78" t="s">
        <v>72</v>
      </c>
      <c r="J78">
        <v>20.9</v>
      </c>
      <c r="K78">
        <v>21.4</v>
      </c>
      <c r="O78">
        <v>1889</v>
      </c>
      <c r="P78" t="s">
        <v>81</v>
      </c>
      <c r="Q78">
        <v>1991</v>
      </c>
      <c r="S78">
        <v>1993</v>
      </c>
      <c r="U78">
        <v>1995</v>
      </c>
      <c r="W78">
        <v>1997</v>
      </c>
      <c r="Y78">
        <v>1999</v>
      </c>
      <c r="AA78">
        <v>2001</v>
      </c>
      <c r="AC78">
        <v>2003</v>
      </c>
      <c r="AD78">
        <v>2004</v>
      </c>
      <c r="AE78" t="s">
        <v>85</v>
      </c>
      <c r="AF78" t="s">
        <v>86</v>
      </c>
    </row>
    <row r="79" spans="1:32" x14ac:dyDescent="0.2">
      <c r="D79" t="s">
        <v>52</v>
      </c>
      <c r="J79">
        <v>216.8</v>
      </c>
      <c r="K79">
        <v>244.3</v>
      </c>
      <c r="O79">
        <v>27.1</v>
      </c>
      <c r="P79">
        <v>22.8</v>
      </c>
      <c r="Q79">
        <v>23.6</v>
      </c>
      <c r="R79">
        <v>11.6</v>
      </c>
      <c r="S79">
        <v>10.9</v>
      </c>
      <c r="T79">
        <v>11.2</v>
      </c>
      <c r="U79">
        <v>8.6</v>
      </c>
      <c r="V79">
        <v>6.5</v>
      </c>
      <c r="W79">
        <v>6.1</v>
      </c>
      <c r="X79">
        <v>10.5</v>
      </c>
      <c r="Y79">
        <v>10</v>
      </c>
      <c r="Z79">
        <v>8.9</v>
      </c>
      <c r="AA79">
        <v>6.7</v>
      </c>
      <c r="AB79">
        <v>12.5</v>
      </c>
      <c r="AC79">
        <v>8.1</v>
      </c>
      <c r="AD79">
        <v>10</v>
      </c>
    </row>
    <row r="80" spans="1:32" x14ac:dyDescent="0.2">
      <c r="G80" t="s">
        <v>80</v>
      </c>
      <c r="L80" t="s">
        <v>73</v>
      </c>
      <c r="M80" t="s">
        <v>73</v>
      </c>
    </row>
    <row r="81" spans="1:32" x14ac:dyDescent="0.2">
      <c r="A81" t="s">
        <v>76</v>
      </c>
      <c r="B81" t="s">
        <v>78</v>
      </c>
      <c r="G81">
        <v>36.58</v>
      </c>
      <c r="H81">
        <v>23.44</v>
      </c>
      <c r="I81">
        <v>7.97</v>
      </c>
      <c r="J81">
        <v>5.7</v>
      </c>
      <c r="K81">
        <v>7.09</v>
      </c>
      <c r="L81">
        <v>20.9</v>
      </c>
      <c r="M81">
        <v>21.4</v>
      </c>
      <c r="O81">
        <v>0.67749999999999999</v>
      </c>
      <c r="P81">
        <v>0.57000000000000006</v>
      </c>
      <c r="Q81">
        <v>0.59000000000000008</v>
      </c>
      <c r="R81">
        <v>0.28999999999999998</v>
      </c>
      <c r="S81">
        <v>0.27250000000000002</v>
      </c>
      <c r="T81">
        <v>0.27999999999999997</v>
      </c>
      <c r="U81">
        <v>0.215</v>
      </c>
      <c r="V81">
        <v>0.16250000000000001</v>
      </c>
      <c r="W81">
        <v>0.1525</v>
      </c>
      <c r="X81">
        <v>0.26250000000000001</v>
      </c>
      <c r="Y81">
        <v>0.25</v>
      </c>
      <c r="Z81">
        <v>0.2225</v>
      </c>
      <c r="AA81">
        <v>0.16750000000000001</v>
      </c>
      <c r="AB81">
        <v>0.3125</v>
      </c>
      <c r="AC81">
        <v>0.20249999999999999</v>
      </c>
      <c r="AD81">
        <v>0.25</v>
      </c>
    </row>
    <row r="82" spans="1:32" x14ac:dyDescent="0.2">
      <c r="A82" t="s">
        <v>63</v>
      </c>
      <c r="B82" t="s">
        <v>78</v>
      </c>
      <c r="F82" t="s">
        <v>87</v>
      </c>
      <c r="G82">
        <v>24.2</v>
      </c>
      <c r="H82">
        <v>13.91</v>
      </c>
      <c r="I82">
        <v>-7.0000000000000007E-2</v>
      </c>
      <c r="J82">
        <v>-0.5</v>
      </c>
      <c r="K82">
        <v>1.2969999999999999</v>
      </c>
      <c r="L82">
        <v>8.7799999999999994</v>
      </c>
      <c r="M82">
        <v>11.29</v>
      </c>
      <c r="N82" t="s">
        <v>87</v>
      </c>
      <c r="O82">
        <v>0.32750000000000001</v>
      </c>
      <c r="P82">
        <v>0.12</v>
      </c>
      <c r="Q82">
        <v>-3.4999999999999996E-2</v>
      </c>
      <c r="R82">
        <v>-0.20499999999999999</v>
      </c>
      <c r="S82">
        <v>-0.155</v>
      </c>
      <c r="T82">
        <v>-0.50250000000000006</v>
      </c>
      <c r="U82">
        <v>-0.36</v>
      </c>
      <c r="V82">
        <v>8.7499999999999994E-2</v>
      </c>
      <c r="W82">
        <v>2.7500000000000004E-2</v>
      </c>
      <c r="X82">
        <v>-6.5000000000000002E-2</v>
      </c>
      <c r="Y82">
        <v>2.2499999999999999E-2</v>
      </c>
      <c r="Z82">
        <v>-0.14250000000000002</v>
      </c>
      <c r="AA82">
        <v>-0.05</v>
      </c>
      <c r="AB82">
        <v>-0.16750000000000001</v>
      </c>
      <c r="AC82">
        <v>-0.11750000000000001</v>
      </c>
      <c r="AD82">
        <v>1.2500000000000001E-2</v>
      </c>
    </row>
    <row r="83" spans="1:32" x14ac:dyDescent="0.2">
      <c r="A83" t="s">
        <v>64</v>
      </c>
      <c r="B83" t="s">
        <v>65</v>
      </c>
      <c r="G83">
        <v>4.6100000000000003</v>
      </c>
      <c r="H83">
        <v>5.67</v>
      </c>
      <c r="I83">
        <v>9.48</v>
      </c>
      <c r="J83">
        <v>9.4600000000000009</v>
      </c>
      <c r="K83">
        <v>4.7</v>
      </c>
      <c r="L83">
        <v>8.1999999999999993</v>
      </c>
      <c r="M83">
        <v>4.0999999999999996</v>
      </c>
      <c r="N83" t="s">
        <v>21</v>
      </c>
      <c r="O83">
        <v>3.1</v>
      </c>
      <c r="P83">
        <v>2.4390335305719919</v>
      </c>
      <c r="Q83">
        <v>1.6620833333333334</v>
      </c>
      <c r="R83">
        <v>2.5602277432712217</v>
      </c>
      <c r="S83">
        <v>2.8104318181818182</v>
      </c>
      <c r="T83">
        <v>1.3724639289678138</v>
      </c>
      <c r="U83">
        <v>1.5098778998778999</v>
      </c>
      <c r="V83">
        <v>3.5739595375722542</v>
      </c>
      <c r="W83">
        <v>2.944261904761905</v>
      </c>
      <c r="X83">
        <v>1.4565253239104829</v>
      </c>
      <c r="Y83">
        <v>1.6946553378100591</v>
      </c>
      <c r="Z83">
        <v>1.7630310806957514</v>
      </c>
      <c r="AA83">
        <v>2.1283820998278831</v>
      </c>
      <c r="AB83">
        <v>1.345582154515778</v>
      </c>
      <c r="AC83">
        <v>1.9083179012345681</v>
      </c>
      <c r="AD83">
        <v>1.6313852242744065</v>
      </c>
    </row>
    <row r="84" spans="1:32" x14ac:dyDescent="0.2">
      <c r="A84" t="s">
        <v>77</v>
      </c>
      <c r="B84" t="s">
        <v>79</v>
      </c>
      <c r="F84" t="s">
        <v>21</v>
      </c>
      <c r="G84">
        <v>1</v>
      </c>
      <c r="H84">
        <v>2</v>
      </c>
      <c r="I84">
        <v>3</v>
      </c>
      <c r="J84">
        <v>4</v>
      </c>
      <c r="K84">
        <v>5</v>
      </c>
      <c r="L84">
        <v>1</v>
      </c>
      <c r="M84">
        <v>2</v>
      </c>
      <c r="O84">
        <v>150</v>
      </c>
      <c r="P84">
        <v>150</v>
      </c>
      <c r="Q84">
        <v>150</v>
      </c>
      <c r="R84">
        <v>150</v>
      </c>
      <c r="S84">
        <v>150</v>
      </c>
      <c r="T84">
        <v>150</v>
      </c>
      <c r="U84">
        <v>150</v>
      </c>
      <c r="V84">
        <v>150</v>
      </c>
      <c r="W84">
        <v>150</v>
      </c>
      <c r="X84">
        <v>150</v>
      </c>
      <c r="Y84">
        <v>150</v>
      </c>
      <c r="Z84">
        <v>150</v>
      </c>
      <c r="AA84">
        <v>150</v>
      </c>
      <c r="AB84">
        <v>150</v>
      </c>
      <c r="AC84">
        <v>150</v>
      </c>
      <c r="AD84">
        <v>150</v>
      </c>
    </row>
    <row r="86" spans="1:32" x14ac:dyDescent="0.2">
      <c r="A86" t="s">
        <v>76</v>
      </c>
      <c r="B86" t="s">
        <v>82</v>
      </c>
      <c r="G86">
        <v>294.7</v>
      </c>
      <c r="H86">
        <v>209.9</v>
      </c>
      <c r="I86">
        <v>130.94999999999999</v>
      </c>
      <c r="J86">
        <v>98.92</v>
      </c>
      <c r="K86">
        <v>167.3</v>
      </c>
      <c r="L86">
        <v>216.8</v>
      </c>
      <c r="M86">
        <v>244.3</v>
      </c>
      <c r="N86" t="s">
        <v>21</v>
      </c>
      <c r="O86">
        <f>359.2/40</f>
        <v>8.98</v>
      </c>
      <c r="P86">
        <f>425/40</f>
        <v>10.625</v>
      </c>
      <c r="Q86">
        <f>564/40</f>
        <v>14.1</v>
      </c>
      <c r="R86">
        <f>458/40</f>
        <v>11.45</v>
      </c>
      <c r="S86">
        <f>426/40</f>
        <v>10.65</v>
      </c>
      <c r="T86">
        <f>516/40</f>
        <v>12.9</v>
      </c>
      <c r="U86">
        <f>374/40</f>
        <v>9.35</v>
      </c>
      <c r="V86">
        <f>173/40</f>
        <v>4.3250000000000002</v>
      </c>
      <c r="W86">
        <f>176/40</f>
        <v>4.4000000000000004</v>
      </c>
      <c r="X86">
        <f>485/40</f>
        <v>12.125</v>
      </c>
      <c r="Y86">
        <f>361.4/40</f>
        <v>9.0350000000000001</v>
      </c>
      <c r="Z86">
        <f>310.7/40</f>
        <v>7.7675000000000001</v>
      </c>
      <c r="AA86">
        <f>270.7/40</f>
        <v>6.7675000000000001</v>
      </c>
      <c r="AB86">
        <f>401/40</f>
        <v>10.025</v>
      </c>
      <c r="AC86">
        <v>6.125</v>
      </c>
      <c r="AE86">
        <f>AVERAGE(O86:AD86)</f>
        <v>9.2416666666666671</v>
      </c>
      <c r="AF86">
        <f>STDEV(O86:AC86)</f>
        <v>2.9329936051916703</v>
      </c>
    </row>
    <row r="87" spans="1:32" x14ac:dyDescent="0.2">
      <c r="A87" t="s">
        <v>63</v>
      </c>
      <c r="B87" t="s">
        <v>83</v>
      </c>
      <c r="G87">
        <v>70.900000000000006</v>
      </c>
      <c r="H87">
        <v>38.200000000000003</v>
      </c>
      <c r="I87">
        <v>21.5</v>
      </c>
      <c r="J87">
        <v>16.600000000000001</v>
      </c>
      <c r="K87">
        <v>5.46</v>
      </c>
      <c r="L87">
        <v>75.88</v>
      </c>
      <c r="M87">
        <v>61.8</v>
      </c>
      <c r="N87" t="s">
        <v>87</v>
      </c>
      <c r="O87">
        <f>261/40</f>
        <v>6.5250000000000004</v>
      </c>
      <c r="P87">
        <f>315/40</f>
        <v>7.875</v>
      </c>
      <c r="Q87">
        <f>494/40</f>
        <v>12.35</v>
      </c>
      <c r="R87">
        <f>291/40</f>
        <v>7.2750000000000004</v>
      </c>
      <c r="S87">
        <f>280/40</f>
        <v>7</v>
      </c>
      <c r="T87">
        <f>218/40</f>
        <v>5.45</v>
      </c>
      <c r="U87">
        <f>167/40</f>
        <v>4.1749999999999998</v>
      </c>
      <c r="V87">
        <f>152/40</f>
        <v>3.8</v>
      </c>
      <c r="W87">
        <f>131/40</f>
        <v>3.2749999999999999</v>
      </c>
      <c r="X87">
        <f>303/40</f>
        <v>7.5750000000000002</v>
      </c>
      <c r="Y87">
        <f>234/40</f>
        <v>5.85</v>
      </c>
      <c r="Z87">
        <f>126/40</f>
        <v>3.15</v>
      </c>
      <c r="AA87">
        <f>157/40</f>
        <v>3.9249999999999998</v>
      </c>
      <c r="AB87">
        <f>224/40</f>
        <v>5.6</v>
      </c>
      <c r="AC87">
        <v>3.0249999999999999</v>
      </c>
      <c r="AE87">
        <f>AVERAGE(O87:AD87)</f>
        <v>5.79</v>
      </c>
      <c r="AF87">
        <f>STDEV(O87:AC87)</f>
        <v>2.4773041222840844</v>
      </c>
    </row>
    <row r="88" spans="1:32" x14ac:dyDescent="0.2">
      <c r="A88" t="s">
        <v>84</v>
      </c>
      <c r="G88">
        <f>G87/G86*100</f>
        <v>24.058364438411946</v>
      </c>
      <c r="H88">
        <f t="shared" ref="H88:M88" si="0">H87/H86*100</f>
        <v>18.199142448785135</v>
      </c>
      <c r="I88">
        <f t="shared" si="0"/>
        <v>16.418480336006112</v>
      </c>
      <c r="J88">
        <f t="shared" si="0"/>
        <v>16.781237363526085</v>
      </c>
      <c r="K88">
        <f t="shared" si="0"/>
        <v>3.2635983263598325</v>
      </c>
      <c r="L88">
        <f t="shared" si="0"/>
        <v>35</v>
      </c>
      <c r="M88">
        <f t="shared" si="0"/>
        <v>25.296766270978306</v>
      </c>
      <c r="O88">
        <f t="shared" ref="O88:AC88" si="1">O87/O86*100</f>
        <v>72.661469933184847</v>
      </c>
      <c r="P88">
        <f t="shared" si="1"/>
        <v>74.117647058823536</v>
      </c>
      <c r="Q88">
        <f t="shared" si="1"/>
        <v>87.588652482269509</v>
      </c>
      <c r="R88">
        <f t="shared" si="1"/>
        <v>63.537117903930138</v>
      </c>
      <c r="S88">
        <f t="shared" si="1"/>
        <v>65.727699530516432</v>
      </c>
      <c r="T88">
        <f t="shared" si="1"/>
        <v>42.248062015503876</v>
      </c>
      <c r="U88">
        <f t="shared" si="1"/>
        <v>44.652406417112303</v>
      </c>
      <c r="V88">
        <f t="shared" si="1"/>
        <v>87.861271676300561</v>
      </c>
      <c r="W88">
        <f t="shared" si="1"/>
        <v>74.431818181818173</v>
      </c>
      <c r="X88">
        <f t="shared" si="1"/>
        <v>62.47422680412371</v>
      </c>
      <c r="Y88">
        <f t="shared" si="1"/>
        <v>64.748201438848923</v>
      </c>
      <c r="Z88">
        <f t="shared" si="1"/>
        <v>40.55358867074348</v>
      </c>
      <c r="AA88">
        <f t="shared" si="1"/>
        <v>57.997783524196521</v>
      </c>
      <c r="AB88">
        <f t="shared" si="1"/>
        <v>55.86034912718204</v>
      </c>
      <c r="AC88">
        <f t="shared" si="1"/>
        <v>49.387755102040813</v>
      </c>
      <c r="AE88">
        <f>AVERAGE(O88:AD88)</f>
        <v>62.923203324439662</v>
      </c>
      <c r="AF88">
        <f>STDEV(O88:AC88)</f>
        <v>14.913317926615196</v>
      </c>
    </row>
    <row r="92" spans="1:32" x14ac:dyDescent="0.2">
      <c r="A92" t="s">
        <v>21</v>
      </c>
      <c r="B92">
        <v>1</v>
      </c>
      <c r="C92">
        <v>2</v>
      </c>
      <c r="D92">
        <v>3</v>
      </c>
      <c r="E92">
        <v>4</v>
      </c>
      <c r="F92">
        <v>5</v>
      </c>
      <c r="G92">
        <v>1</v>
      </c>
      <c r="H92">
        <v>2</v>
      </c>
    </row>
    <row r="93" spans="1:32" x14ac:dyDescent="0.2">
      <c r="A93" t="s">
        <v>87</v>
      </c>
      <c r="B93">
        <v>24.2</v>
      </c>
      <c r="C93">
        <v>13.91</v>
      </c>
      <c r="D93">
        <v>-7.0000000000000007E-2</v>
      </c>
      <c r="E93">
        <v>-0.5</v>
      </c>
      <c r="F93">
        <v>1.2969999999999999</v>
      </c>
      <c r="G93">
        <v>8.7799999999999994</v>
      </c>
      <c r="H93">
        <v>11.29</v>
      </c>
    </row>
    <row r="105" spans="25:25" x14ac:dyDescent="0.2">
      <c r="Y105">
        <v>6</v>
      </c>
    </row>
    <row r="113" spans="1:17" x14ac:dyDescent="0.2">
      <c r="A113" t="s">
        <v>21</v>
      </c>
      <c r="B113">
        <v>3.1</v>
      </c>
      <c r="C113">
        <v>2.4390335305719919</v>
      </c>
      <c r="D113">
        <v>1.6620833333333334</v>
      </c>
      <c r="E113">
        <v>2.5602277432712217</v>
      </c>
      <c r="F113">
        <v>2.8104318181818182</v>
      </c>
      <c r="G113">
        <v>1.3724639289678138</v>
      </c>
      <c r="H113">
        <v>1.5098778998778999</v>
      </c>
      <c r="I113">
        <v>3.5739595375722542</v>
      </c>
      <c r="J113">
        <v>2.944261904761905</v>
      </c>
      <c r="K113">
        <v>1.4565253239104829</v>
      </c>
      <c r="L113">
        <v>1.6946553378100591</v>
      </c>
      <c r="M113">
        <v>1.7630310806957514</v>
      </c>
      <c r="N113">
        <v>2.1283820998278831</v>
      </c>
      <c r="O113">
        <v>1.345582154515778</v>
      </c>
      <c r="P113">
        <v>1.9083179012345681</v>
      </c>
      <c r="Q113">
        <v>1.6313852242744065</v>
      </c>
    </row>
    <row r="114" spans="1:17" x14ac:dyDescent="0.2">
      <c r="A114" t="s">
        <v>87</v>
      </c>
      <c r="B114">
        <v>0.32750000000000001</v>
      </c>
      <c r="C114">
        <v>0.12</v>
      </c>
      <c r="D114">
        <v>-3.4999999999999996E-2</v>
      </c>
      <c r="E114">
        <v>-0.20499999999999999</v>
      </c>
      <c r="F114">
        <v>-0.155</v>
      </c>
      <c r="G114">
        <v>-0.50250000000000006</v>
      </c>
      <c r="H114">
        <v>-0.36</v>
      </c>
      <c r="I114">
        <v>8.7499999999999994E-2</v>
      </c>
      <c r="J114">
        <v>2.7500000000000004E-2</v>
      </c>
      <c r="K114">
        <v>-6.5000000000000002E-2</v>
      </c>
      <c r="L114">
        <v>2.2499999999999999E-2</v>
      </c>
      <c r="M114">
        <v>-0.14250000000000002</v>
      </c>
      <c r="N114">
        <v>-0.05</v>
      </c>
      <c r="O114">
        <v>-0.16750000000000001</v>
      </c>
      <c r="P114">
        <v>-0.11750000000000001</v>
      </c>
      <c r="Q114">
        <v>1.2500000000000001E-2</v>
      </c>
    </row>
    <row r="133" spans="3:21" x14ac:dyDescent="0.2">
      <c r="C133" t="s">
        <v>81</v>
      </c>
      <c r="F133">
        <v>1989</v>
      </c>
    </row>
    <row r="134" spans="3:21" x14ac:dyDescent="0.2">
      <c r="D134" t="s">
        <v>92</v>
      </c>
      <c r="E134" t="s">
        <v>21</v>
      </c>
      <c r="F134">
        <v>1</v>
      </c>
      <c r="G134">
        <v>2</v>
      </c>
      <c r="H134">
        <v>3</v>
      </c>
      <c r="I134">
        <v>4</v>
      </c>
      <c r="J134">
        <v>5</v>
      </c>
      <c r="K134">
        <v>6</v>
      </c>
      <c r="L134">
        <v>7</v>
      </c>
      <c r="M134">
        <v>8</v>
      </c>
      <c r="N134">
        <v>9</v>
      </c>
      <c r="O134">
        <v>10</v>
      </c>
      <c r="P134">
        <v>11</v>
      </c>
      <c r="Q134">
        <v>12</v>
      </c>
      <c r="R134">
        <v>13</v>
      </c>
      <c r="S134">
        <v>14</v>
      </c>
      <c r="T134">
        <v>15</v>
      </c>
      <c r="U134">
        <v>16</v>
      </c>
    </row>
    <row r="135" spans="3:21" x14ac:dyDescent="0.2">
      <c r="C135" t="s">
        <v>88</v>
      </c>
      <c r="D135" t="s">
        <v>89</v>
      </c>
      <c r="E135" t="s">
        <v>87</v>
      </c>
      <c r="F135">
        <v>30</v>
      </c>
      <c r="G135">
        <v>25.7</v>
      </c>
      <c r="H135">
        <v>16.7</v>
      </c>
      <c r="I135">
        <v>13.8</v>
      </c>
      <c r="J135">
        <v>11.6</v>
      </c>
      <c r="K135">
        <v>12.7</v>
      </c>
      <c r="L135">
        <v>8.3000000000000007</v>
      </c>
      <c r="M135">
        <v>5.5</v>
      </c>
      <c r="N135">
        <v>5.7</v>
      </c>
      <c r="O135">
        <v>6</v>
      </c>
      <c r="P135">
        <v>5.6</v>
      </c>
      <c r="Q135">
        <v>4.9000000000000004</v>
      </c>
      <c r="R135">
        <v>4.3</v>
      </c>
      <c r="S135">
        <v>6.6</v>
      </c>
      <c r="T135">
        <v>4.5</v>
      </c>
      <c r="U135">
        <v>4.5</v>
      </c>
    </row>
    <row r="136" spans="3:21" x14ac:dyDescent="0.2">
      <c r="C136" t="s">
        <v>90</v>
      </c>
      <c r="D136" t="s">
        <v>89</v>
      </c>
      <c r="E136" t="s">
        <v>87</v>
      </c>
      <c r="F136">
        <v>27.1</v>
      </c>
      <c r="G136">
        <v>27.8</v>
      </c>
      <c r="H136">
        <v>23.6</v>
      </c>
      <c r="I136">
        <v>11.6</v>
      </c>
      <c r="J136">
        <v>10.9</v>
      </c>
      <c r="K136">
        <v>11.2</v>
      </c>
      <c r="L136">
        <v>8.5</v>
      </c>
      <c r="M136">
        <v>6.5</v>
      </c>
      <c r="N136">
        <v>6.1</v>
      </c>
      <c r="O136">
        <v>10.5</v>
      </c>
      <c r="P136">
        <v>10</v>
      </c>
      <c r="Q136">
        <v>8.9</v>
      </c>
      <c r="R136">
        <v>6.7</v>
      </c>
      <c r="S136">
        <v>12.5</v>
      </c>
      <c r="T136">
        <v>8.1</v>
      </c>
      <c r="U136">
        <v>10</v>
      </c>
    </row>
    <row r="137" spans="3:21" x14ac:dyDescent="0.2">
      <c r="C137" t="s">
        <v>88</v>
      </c>
      <c r="D137" t="s">
        <v>91</v>
      </c>
      <c r="F137">
        <v>168</v>
      </c>
      <c r="G137">
        <v>182</v>
      </c>
      <c r="H137">
        <v>149</v>
      </c>
      <c r="I137">
        <v>131</v>
      </c>
      <c r="J137">
        <v>97</v>
      </c>
      <c r="K137">
        <v>82.5</v>
      </c>
      <c r="L137">
        <v>63.3</v>
      </c>
      <c r="M137">
        <v>51.5</v>
      </c>
      <c r="N137">
        <v>49.2</v>
      </c>
      <c r="O137">
        <v>50.8</v>
      </c>
      <c r="P137">
        <v>57.1</v>
      </c>
      <c r="Q137">
        <v>42.1</v>
      </c>
      <c r="R137">
        <v>48.3</v>
      </c>
      <c r="S137">
        <v>58.3</v>
      </c>
      <c r="T137">
        <v>42.4</v>
      </c>
    </row>
    <row r="138" spans="3:21" x14ac:dyDescent="0.2">
      <c r="C138" t="s">
        <v>90</v>
      </c>
      <c r="D138" t="s">
        <v>91</v>
      </c>
      <c r="F138">
        <v>359.2</v>
      </c>
      <c r="G138">
        <v>425.2</v>
      </c>
      <c r="H138">
        <v>564</v>
      </c>
      <c r="I138">
        <v>468</v>
      </c>
      <c r="J138">
        <v>426</v>
      </c>
      <c r="K138">
        <v>516</v>
      </c>
      <c r="L138">
        <v>374</v>
      </c>
      <c r="M138">
        <v>173</v>
      </c>
      <c r="N138">
        <v>176</v>
      </c>
      <c r="O138">
        <v>485</v>
      </c>
      <c r="P138">
        <v>261</v>
      </c>
      <c r="Q138">
        <v>311</v>
      </c>
      <c r="R138">
        <v>271</v>
      </c>
      <c r="S138">
        <v>401</v>
      </c>
      <c r="T138">
        <v>246</v>
      </c>
    </row>
    <row r="156" spans="1:19" x14ac:dyDescent="0.2">
      <c r="B156" t="s">
        <v>92</v>
      </c>
      <c r="C156" t="s">
        <v>21</v>
      </c>
      <c r="D156">
        <v>1</v>
      </c>
      <c r="E156">
        <v>2</v>
      </c>
      <c r="F156">
        <v>3</v>
      </c>
      <c r="G156">
        <v>4</v>
      </c>
      <c r="H156">
        <v>5</v>
      </c>
      <c r="I156">
        <v>6</v>
      </c>
      <c r="J156">
        <v>7</v>
      </c>
      <c r="K156">
        <v>8</v>
      </c>
      <c r="L156">
        <v>9</v>
      </c>
      <c r="M156">
        <v>10</v>
      </c>
      <c r="N156">
        <v>11</v>
      </c>
      <c r="O156">
        <v>12</v>
      </c>
      <c r="P156">
        <v>13</v>
      </c>
      <c r="Q156">
        <v>14</v>
      </c>
      <c r="R156">
        <v>15</v>
      </c>
      <c r="S156">
        <v>16</v>
      </c>
    </row>
    <row r="159" spans="1:19" x14ac:dyDescent="0.2">
      <c r="A159" t="s">
        <v>88</v>
      </c>
      <c r="B159" t="s">
        <v>91</v>
      </c>
      <c r="C159" t="s">
        <v>87</v>
      </c>
      <c r="D159">
        <v>168</v>
      </c>
      <c r="E159">
        <v>182</v>
      </c>
      <c r="F159">
        <v>149</v>
      </c>
      <c r="G159">
        <v>131</v>
      </c>
      <c r="H159">
        <v>97</v>
      </c>
      <c r="I159">
        <v>82.5</v>
      </c>
      <c r="J159">
        <v>63.3</v>
      </c>
      <c r="K159">
        <v>51.5</v>
      </c>
      <c r="L159">
        <v>49.2</v>
      </c>
      <c r="M159">
        <v>50.8</v>
      </c>
      <c r="N159">
        <v>57.1</v>
      </c>
      <c r="O159">
        <v>42.1</v>
      </c>
      <c r="P159">
        <v>48.3</v>
      </c>
      <c r="Q159">
        <v>58.3</v>
      </c>
      <c r="R159">
        <v>42.4</v>
      </c>
    </row>
    <row r="160" spans="1:19" x14ac:dyDescent="0.2">
      <c r="A160" t="s">
        <v>90</v>
      </c>
      <c r="B160" t="s">
        <v>91</v>
      </c>
      <c r="C160" t="s">
        <v>87</v>
      </c>
      <c r="D160">
        <v>359.2</v>
      </c>
      <c r="E160">
        <v>425.2</v>
      </c>
      <c r="F160">
        <v>564</v>
      </c>
      <c r="G160">
        <v>468</v>
      </c>
      <c r="H160">
        <v>426</v>
      </c>
      <c r="I160">
        <v>516</v>
      </c>
      <c r="J160">
        <v>374</v>
      </c>
      <c r="K160">
        <v>173</v>
      </c>
      <c r="L160">
        <v>176</v>
      </c>
      <c r="M160">
        <v>485</v>
      </c>
      <c r="N160">
        <v>261</v>
      </c>
      <c r="O160">
        <v>311</v>
      </c>
      <c r="P160">
        <v>271</v>
      </c>
      <c r="Q160">
        <v>401</v>
      </c>
      <c r="R160">
        <v>246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9" x14ac:dyDescent="0.2">
      <c r="C1" t="s">
        <v>93</v>
      </c>
      <c r="D1" t="s">
        <v>93</v>
      </c>
      <c r="E1" t="s">
        <v>93</v>
      </c>
      <c r="F1" t="s">
        <v>93</v>
      </c>
      <c r="G1" t="s">
        <v>93</v>
      </c>
      <c r="H1" t="s">
        <v>73</v>
      </c>
      <c r="I1" t="s">
        <v>73</v>
      </c>
    </row>
    <row r="2" spans="1:9" x14ac:dyDescent="0.2">
      <c r="A2" t="s">
        <v>78</v>
      </c>
      <c r="B2" t="s">
        <v>94</v>
      </c>
      <c r="C2">
        <v>36.58</v>
      </c>
      <c r="D2">
        <v>23.44</v>
      </c>
      <c r="E2">
        <v>7.97</v>
      </c>
      <c r="F2">
        <v>5.7</v>
      </c>
      <c r="G2">
        <v>7.09</v>
      </c>
      <c r="H2">
        <v>20.9</v>
      </c>
      <c r="I2">
        <v>21.4</v>
      </c>
    </row>
    <row r="3" spans="1:9" x14ac:dyDescent="0.2">
      <c r="A3" t="s">
        <v>78</v>
      </c>
      <c r="B3" t="s">
        <v>95</v>
      </c>
      <c r="C3">
        <v>24.2</v>
      </c>
      <c r="D3">
        <v>13.91</v>
      </c>
      <c r="E3">
        <v>-7.0000000000000007E-2</v>
      </c>
      <c r="F3">
        <v>-0.5</v>
      </c>
      <c r="G3">
        <v>1.2969999999999999</v>
      </c>
      <c r="H3">
        <v>8.7799999999999994</v>
      </c>
      <c r="I3">
        <v>11.29</v>
      </c>
    </row>
    <row r="4" spans="1:9" x14ac:dyDescent="0.2">
      <c r="A4" t="s">
        <v>65</v>
      </c>
      <c r="B4" t="s">
        <v>64</v>
      </c>
      <c r="C4">
        <v>4.6100000000000003</v>
      </c>
      <c r="D4">
        <v>5.67</v>
      </c>
      <c r="E4">
        <v>9.48</v>
      </c>
      <c r="F4">
        <v>9.4600000000000009</v>
      </c>
      <c r="G4">
        <v>4.7</v>
      </c>
      <c r="H4">
        <v>8.1999999999999993</v>
      </c>
      <c r="I4">
        <v>4.0999999999999996</v>
      </c>
    </row>
    <row r="5" spans="1:9" x14ac:dyDescent="0.2">
      <c r="A5" t="s">
        <v>79</v>
      </c>
      <c r="B5" t="s">
        <v>77</v>
      </c>
      <c r="C5">
        <v>1</v>
      </c>
      <c r="D5">
        <v>2</v>
      </c>
      <c r="E5">
        <v>3</v>
      </c>
      <c r="F5">
        <v>4</v>
      </c>
      <c r="G5">
        <v>5</v>
      </c>
      <c r="H5">
        <v>1</v>
      </c>
      <c r="I5">
        <v>2</v>
      </c>
    </row>
    <row r="7" spans="1:9" x14ac:dyDescent="0.2">
      <c r="A7" t="s">
        <v>82</v>
      </c>
      <c r="B7" t="s">
        <v>96</v>
      </c>
      <c r="C7">
        <v>294.7</v>
      </c>
      <c r="D7">
        <v>209.9</v>
      </c>
      <c r="E7">
        <v>130.94999999999999</v>
      </c>
      <c r="F7">
        <v>98.92</v>
      </c>
      <c r="G7">
        <v>167.3</v>
      </c>
      <c r="H7">
        <v>216.8</v>
      </c>
      <c r="I7">
        <v>244.3</v>
      </c>
    </row>
    <row r="8" spans="1:9" x14ac:dyDescent="0.2">
      <c r="A8" t="s">
        <v>83</v>
      </c>
      <c r="B8" t="s">
        <v>97</v>
      </c>
      <c r="C8">
        <v>70.900000000000006</v>
      </c>
      <c r="D8">
        <v>38.200000000000003</v>
      </c>
      <c r="E8">
        <v>21.5</v>
      </c>
      <c r="F8">
        <v>16.600000000000001</v>
      </c>
      <c r="G8">
        <v>5.46</v>
      </c>
      <c r="H8">
        <v>75.88</v>
      </c>
      <c r="I8">
        <v>61.8</v>
      </c>
    </row>
    <row r="9" spans="1:9" x14ac:dyDescent="0.2">
      <c r="B9" t="s">
        <v>98</v>
      </c>
      <c r="C9">
        <f>C8/C7*100</f>
        <v>24.058364438411946</v>
      </c>
      <c r="D9">
        <f t="shared" ref="D9:I9" si="0">D8/D7*100</f>
        <v>18.199142448785135</v>
      </c>
      <c r="E9">
        <f t="shared" si="0"/>
        <v>16.418480336006112</v>
      </c>
      <c r="F9">
        <f t="shared" si="0"/>
        <v>16.781237363526085</v>
      </c>
      <c r="G9">
        <f t="shared" si="0"/>
        <v>3.2635983263598325</v>
      </c>
      <c r="H9">
        <f t="shared" si="0"/>
        <v>35</v>
      </c>
      <c r="I9">
        <f t="shared" si="0"/>
        <v>25.296766270978306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A995-30C6-8B43-826C-4E06105D2EB2}">
  <dimension ref="A1:R6"/>
  <sheetViews>
    <sheetView workbookViewId="0">
      <selection activeCell="C1" sqref="C1"/>
    </sheetView>
  </sheetViews>
  <sheetFormatPr baseColWidth="10" defaultRowHeight="15" x14ac:dyDescent="0.2"/>
  <sheetData>
    <row r="1" spans="1:18" x14ac:dyDescent="0.2">
      <c r="A1" t="s">
        <v>81</v>
      </c>
      <c r="C1">
        <v>1989</v>
      </c>
    </row>
    <row r="2" spans="1:18" x14ac:dyDescent="0.2">
      <c r="A2" t="s">
        <v>99</v>
      </c>
      <c r="B2" t="s">
        <v>100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</row>
    <row r="3" spans="1:18" x14ac:dyDescent="0.2">
      <c r="A3" t="s">
        <v>88</v>
      </c>
      <c r="B3" t="s">
        <v>89</v>
      </c>
      <c r="C3">
        <v>30</v>
      </c>
      <c r="D3">
        <v>25.7</v>
      </c>
      <c r="E3">
        <v>16.7</v>
      </c>
      <c r="F3">
        <v>13.8</v>
      </c>
      <c r="G3">
        <v>11.6</v>
      </c>
      <c r="H3">
        <v>12.7</v>
      </c>
      <c r="I3">
        <v>8.3000000000000007</v>
      </c>
      <c r="J3">
        <v>5.5</v>
      </c>
      <c r="K3">
        <v>5.7</v>
      </c>
      <c r="L3">
        <v>6</v>
      </c>
      <c r="M3">
        <v>5.6</v>
      </c>
      <c r="N3">
        <v>4.9000000000000004</v>
      </c>
      <c r="O3">
        <v>4.3</v>
      </c>
      <c r="P3">
        <v>6.6</v>
      </c>
      <c r="Q3">
        <v>4.5</v>
      </c>
      <c r="R3">
        <v>4.5</v>
      </c>
    </row>
    <row r="4" spans="1:18" x14ac:dyDescent="0.2">
      <c r="A4" t="s">
        <v>90</v>
      </c>
      <c r="B4" t="s">
        <v>89</v>
      </c>
      <c r="C4">
        <v>27.1</v>
      </c>
      <c r="D4">
        <v>27.8</v>
      </c>
      <c r="E4">
        <v>23.6</v>
      </c>
      <c r="F4">
        <v>11.6</v>
      </c>
      <c r="G4">
        <v>10.9</v>
      </c>
      <c r="H4">
        <v>11.2</v>
      </c>
      <c r="I4">
        <v>8.5</v>
      </c>
      <c r="J4">
        <v>6.5</v>
      </c>
      <c r="K4">
        <v>6.1</v>
      </c>
      <c r="L4">
        <v>10.5</v>
      </c>
      <c r="M4">
        <v>10</v>
      </c>
      <c r="N4">
        <v>8.9</v>
      </c>
      <c r="O4">
        <v>6.7</v>
      </c>
      <c r="P4">
        <v>12.5</v>
      </c>
      <c r="Q4">
        <v>8.1</v>
      </c>
      <c r="R4">
        <v>10</v>
      </c>
    </row>
    <row r="5" spans="1:18" x14ac:dyDescent="0.2">
      <c r="A5" t="s">
        <v>88</v>
      </c>
      <c r="B5" t="s">
        <v>91</v>
      </c>
      <c r="C5">
        <v>168</v>
      </c>
      <c r="D5">
        <v>182</v>
      </c>
      <c r="E5">
        <v>149</v>
      </c>
      <c r="F5">
        <v>131</v>
      </c>
      <c r="G5">
        <v>97</v>
      </c>
      <c r="H5">
        <v>82.5</v>
      </c>
      <c r="I5">
        <v>63.3</v>
      </c>
      <c r="J5">
        <v>51.5</v>
      </c>
      <c r="K5">
        <v>49.2</v>
      </c>
      <c r="L5">
        <v>50.8</v>
      </c>
      <c r="M5">
        <v>57.1</v>
      </c>
      <c r="N5">
        <v>42.1</v>
      </c>
      <c r="O5">
        <v>48.3</v>
      </c>
      <c r="P5">
        <v>58.3</v>
      </c>
      <c r="Q5">
        <v>42.4</v>
      </c>
    </row>
    <row r="6" spans="1:18" x14ac:dyDescent="0.2">
      <c r="A6" t="s">
        <v>90</v>
      </c>
      <c r="B6" t="s">
        <v>91</v>
      </c>
      <c r="C6">
        <v>359.2</v>
      </c>
      <c r="D6">
        <v>425.2</v>
      </c>
      <c r="E6">
        <v>564</v>
      </c>
      <c r="F6">
        <v>468</v>
      </c>
      <c r="G6">
        <v>426</v>
      </c>
      <c r="H6">
        <v>516</v>
      </c>
      <c r="I6">
        <v>374</v>
      </c>
      <c r="J6">
        <v>173</v>
      </c>
      <c r="K6">
        <v>176</v>
      </c>
      <c r="L6">
        <v>485</v>
      </c>
      <c r="M6">
        <v>261</v>
      </c>
      <c r="N6">
        <v>311</v>
      </c>
      <c r="O6">
        <v>271</v>
      </c>
      <c r="P6">
        <v>401</v>
      </c>
      <c r="Q6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22CB-0CA4-3F43-9495-9229DF500878}">
  <dimension ref="A1:M33"/>
  <sheetViews>
    <sheetView tabSelected="1" workbookViewId="0">
      <selection activeCell="F25" sqref="F25"/>
    </sheetView>
  </sheetViews>
  <sheetFormatPr baseColWidth="10" defaultColWidth="8.83203125" defaultRowHeight="15" x14ac:dyDescent="0.2"/>
  <sheetData>
    <row r="1" spans="1:13" x14ac:dyDescent="0.2">
      <c r="A1" t="s">
        <v>101</v>
      </c>
    </row>
    <row r="2" spans="1:13" x14ac:dyDescent="0.2"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106</v>
      </c>
      <c r="I2" t="s">
        <v>107</v>
      </c>
      <c r="J2" t="s">
        <v>107</v>
      </c>
      <c r="K2" t="s">
        <v>108</v>
      </c>
      <c r="L2" t="s">
        <v>109</v>
      </c>
      <c r="M2" t="s">
        <v>110</v>
      </c>
    </row>
    <row r="3" spans="1:13" x14ac:dyDescent="0.2">
      <c r="A3" t="s">
        <v>124</v>
      </c>
      <c r="B3" t="s">
        <v>123</v>
      </c>
      <c r="C3" t="s">
        <v>122</v>
      </c>
      <c r="D3" t="s">
        <v>121</v>
      </c>
      <c r="E3" t="s">
        <v>50</v>
      </c>
      <c r="F3" t="s">
        <v>52</v>
      </c>
      <c r="G3" t="s">
        <v>50</v>
      </c>
      <c r="H3" t="s">
        <v>52</v>
      </c>
      <c r="I3" t="s">
        <v>50</v>
      </c>
      <c r="J3" t="s">
        <v>52</v>
      </c>
      <c r="K3" t="s">
        <v>108</v>
      </c>
      <c r="L3" t="s">
        <v>109</v>
      </c>
      <c r="M3" t="s">
        <v>110</v>
      </c>
    </row>
    <row r="4" spans="1:13" x14ac:dyDescent="0.2">
      <c r="A4" t="s">
        <v>111</v>
      </c>
      <c r="B4" t="s">
        <v>112</v>
      </c>
      <c r="C4">
        <v>2.9</v>
      </c>
      <c r="D4">
        <v>44.5</v>
      </c>
      <c r="E4">
        <v>2.56</v>
      </c>
      <c r="F4">
        <v>21.1</v>
      </c>
      <c r="G4">
        <v>8.1664000000000012</v>
      </c>
      <c r="H4">
        <v>67.309000000000012</v>
      </c>
      <c r="I4">
        <v>16.332800000000002</v>
      </c>
      <c r="J4">
        <v>134.61800000000002</v>
      </c>
      <c r="K4">
        <f>D4*10*0.46/F4</f>
        <v>9.7014218009478679</v>
      </c>
      <c r="L4">
        <f>F4/E4</f>
        <v>8.2421875</v>
      </c>
      <c r="M4">
        <f>D4*10*0.46/E4</f>
        <v>79.9609375</v>
      </c>
    </row>
    <row r="5" spans="1:13" x14ac:dyDescent="0.2">
      <c r="A5" t="s">
        <v>111</v>
      </c>
      <c r="B5" s="1" t="s">
        <v>113</v>
      </c>
      <c r="C5">
        <v>4.2</v>
      </c>
      <c r="D5">
        <v>43.8</v>
      </c>
      <c r="E5">
        <v>2.52</v>
      </c>
      <c r="F5">
        <v>21.4</v>
      </c>
      <c r="G5">
        <v>11.6424</v>
      </c>
      <c r="H5">
        <v>98.867999999999995</v>
      </c>
      <c r="I5">
        <v>34.927199999999999</v>
      </c>
      <c r="J5">
        <v>296.60399999999998</v>
      </c>
      <c r="K5">
        <f t="shared" ref="K5:K14" si="0">D5*10*0.46/F5</f>
        <v>9.4149532710280397</v>
      </c>
      <c r="L5">
        <f t="shared" ref="L5:L14" si="1">F5/E5</f>
        <v>8.4920634920634921</v>
      </c>
      <c r="M5">
        <f t="shared" ref="M5:M14" si="2">D5*10*0.46/E5</f>
        <v>79.952380952380963</v>
      </c>
    </row>
    <row r="6" spans="1:13" x14ac:dyDescent="0.2">
      <c r="A6" t="s">
        <v>111</v>
      </c>
      <c r="B6" t="s">
        <v>114</v>
      </c>
      <c r="C6">
        <v>4.9000000000000004</v>
      </c>
      <c r="D6">
        <v>43.7</v>
      </c>
      <c r="E6">
        <v>2.33</v>
      </c>
      <c r="F6">
        <v>21.9</v>
      </c>
      <c r="G6">
        <v>12.558700000000002</v>
      </c>
      <c r="H6">
        <v>118.041</v>
      </c>
      <c r="I6">
        <v>62.793500000000009</v>
      </c>
      <c r="J6">
        <v>590.20499999999993</v>
      </c>
      <c r="K6">
        <f t="shared" si="0"/>
        <v>9.1789954337899555</v>
      </c>
      <c r="L6">
        <f t="shared" si="1"/>
        <v>9.399141630901287</v>
      </c>
      <c r="M6">
        <f t="shared" si="2"/>
        <v>86.274678111587988</v>
      </c>
    </row>
    <row r="7" spans="1:13" x14ac:dyDescent="0.2">
      <c r="A7" t="s">
        <v>111</v>
      </c>
      <c r="B7" t="s">
        <v>115</v>
      </c>
      <c r="I7">
        <v>114.05350000000001</v>
      </c>
      <c r="J7">
        <v>1021.4270000000001</v>
      </c>
    </row>
    <row r="8" spans="1:13" x14ac:dyDescent="0.2">
      <c r="A8" t="s">
        <v>116</v>
      </c>
      <c r="B8" t="s">
        <v>112</v>
      </c>
      <c r="C8">
        <v>3.1</v>
      </c>
      <c r="D8">
        <v>43.4</v>
      </c>
      <c r="E8">
        <v>2.6</v>
      </c>
      <c r="F8">
        <v>18.5</v>
      </c>
      <c r="G8">
        <v>8.8659999999999997</v>
      </c>
      <c r="H8">
        <v>63.085000000000008</v>
      </c>
      <c r="I8">
        <v>17.731999999999999</v>
      </c>
      <c r="J8">
        <v>126.17000000000002</v>
      </c>
      <c r="K8">
        <f t="shared" si="0"/>
        <v>10.791351351351352</v>
      </c>
      <c r="L8">
        <f t="shared" si="1"/>
        <v>7.115384615384615</v>
      </c>
      <c r="M8">
        <f t="shared" si="2"/>
        <v>76.784615384615392</v>
      </c>
    </row>
    <row r="9" spans="1:13" x14ac:dyDescent="0.2">
      <c r="A9" t="s">
        <v>116</v>
      </c>
      <c r="B9" s="1" t="s">
        <v>113</v>
      </c>
      <c r="C9">
        <v>4.5</v>
      </c>
      <c r="D9">
        <v>41.8</v>
      </c>
      <c r="E9">
        <v>2.5</v>
      </c>
      <c r="F9">
        <v>19</v>
      </c>
      <c r="G9">
        <v>12.375</v>
      </c>
      <c r="H9">
        <v>94.050000000000011</v>
      </c>
      <c r="I9">
        <v>37.125</v>
      </c>
      <c r="J9">
        <v>282.15000000000003</v>
      </c>
      <c r="K9">
        <f t="shared" si="0"/>
        <v>10.119999999999999</v>
      </c>
      <c r="L9">
        <f t="shared" si="1"/>
        <v>7.6</v>
      </c>
      <c r="M9">
        <f t="shared" si="2"/>
        <v>76.912000000000006</v>
      </c>
    </row>
    <row r="10" spans="1:13" x14ac:dyDescent="0.2">
      <c r="A10" t="s">
        <v>116</v>
      </c>
      <c r="B10" t="s">
        <v>114</v>
      </c>
      <c r="C10">
        <v>5.6</v>
      </c>
      <c r="D10">
        <v>38.700000000000003</v>
      </c>
      <c r="E10">
        <v>2.15</v>
      </c>
      <c r="F10">
        <v>17.5</v>
      </c>
      <c r="G10">
        <v>13.244</v>
      </c>
      <c r="H10">
        <v>107.80000000000001</v>
      </c>
      <c r="I10">
        <v>66.220000000000013</v>
      </c>
      <c r="J10">
        <v>539</v>
      </c>
      <c r="K10">
        <f t="shared" si="0"/>
        <v>10.172571428571429</v>
      </c>
      <c r="L10">
        <f t="shared" si="1"/>
        <v>8.1395348837209305</v>
      </c>
      <c r="M10">
        <f t="shared" si="2"/>
        <v>82.800000000000011</v>
      </c>
    </row>
    <row r="11" spans="1:13" x14ac:dyDescent="0.2">
      <c r="A11" t="s">
        <v>116</v>
      </c>
      <c r="B11" t="s">
        <v>115</v>
      </c>
      <c r="I11">
        <v>121.077</v>
      </c>
      <c r="J11">
        <v>947.32000000000016</v>
      </c>
    </row>
    <row r="12" spans="1:13" x14ac:dyDescent="0.2">
      <c r="A12" t="s">
        <v>117</v>
      </c>
      <c r="B12" t="s">
        <v>112</v>
      </c>
      <c r="C12">
        <v>3.6</v>
      </c>
      <c r="D12">
        <v>38.9</v>
      </c>
      <c r="E12">
        <v>2.29</v>
      </c>
      <c r="F12">
        <v>18.600000000000001</v>
      </c>
      <c r="G12">
        <v>9.0684000000000005</v>
      </c>
      <c r="H12">
        <v>73.656000000000006</v>
      </c>
      <c r="I12">
        <v>18.136800000000001</v>
      </c>
      <c r="J12">
        <v>147.31200000000001</v>
      </c>
      <c r="K12">
        <f t="shared" si="0"/>
        <v>9.6204301075268805</v>
      </c>
      <c r="L12">
        <f t="shared" si="1"/>
        <v>8.1222707423580793</v>
      </c>
      <c r="M12">
        <f t="shared" si="2"/>
        <v>78.139737991266372</v>
      </c>
    </row>
    <row r="13" spans="1:13" x14ac:dyDescent="0.2">
      <c r="A13" t="s">
        <v>117</v>
      </c>
      <c r="B13" s="1" t="s">
        <v>113</v>
      </c>
      <c r="C13">
        <v>6.3</v>
      </c>
      <c r="D13">
        <v>33.9</v>
      </c>
      <c r="E13">
        <v>1.99</v>
      </c>
      <c r="F13">
        <v>16.600000000000001</v>
      </c>
      <c r="G13">
        <v>13.790700000000001</v>
      </c>
      <c r="H13">
        <v>115.03800000000001</v>
      </c>
      <c r="I13">
        <v>41.372100000000003</v>
      </c>
      <c r="J13">
        <v>345.11400000000003</v>
      </c>
      <c r="K13">
        <f t="shared" si="0"/>
        <v>9.3939759036144572</v>
      </c>
      <c r="L13">
        <f t="shared" si="1"/>
        <v>8.3417085427135689</v>
      </c>
      <c r="M13">
        <f t="shared" si="2"/>
        <v>78.361809045226124</v>
      </c>
    </row>
    <row r="14" spans="1:13" x14ac:dyDescent="0.2">
      <c r="A14" t="s">
        <v>117</v>
      </c>
      <c r="B14" t="s">
        <v>114</v>
      </c>
      <c r="C14">
        <v>10.3</v>
      </c>
      <c r="D14">
        <v>25.7</v>
      </c>
      <c r="E14">
        <v>1.32</v>
      </c>
      <c r="F14">
        <v>13.2</v>
      </c>
      <c r="G14">
        <v>14.955600000000002</v>
      </c>
      <c r="H14">
        <v>149.55600000000001</v>
      </c>
      <c r="I14">
        <v>74.778000000000006</v>
      </c>
      <c r="J14">
        <v>747.78</v>
      </c>
      <c r="K14">
        <f t="shared" si="0"/>
        <v>8.9560606060606069</v>
      </c>
      <c r="L14">
        <f t="shared" si="1"/>
        <v>9.9999999999999982</v>
      </c>
      <c r="M14">
        <f t="shared" si="2"/>
        <v>89.560606060606062</v>
      </c>
    </row>
    <row r="15" spans="1:13" x14ac:dyDescent="0.2">
      <c r="A15" t="s">
        <v>117</v>
      </c>
      <c r="B15" t="s">
        <v>115</v>
      </c>
      <c r="I15">
        <v>134.28690000000003</v>
      </c>
      <c r="J15">
        <v>1240.2060000000001</v>
      </c>
    </row>
    <row r="16" spans="1:13" x14ac:dyDescent="0.2">
      <c r="A16" t="s">
        <v>118</v>
      </c>
      <c r="B16" t="s">
        <v>112</v>
      </c>
      <c r="I16">
        <v>17.400533333333339</v>
      </c>
      <c r="J16">
        <v>136.03333333333333</v>
      </c>
      <c r="K16">
        <f t="shared" ref="K16:M18" si="3">(K4+K8+K12)/3</f>
        <v>10.037734419942034</v>
      </c>
      <c r="L16">
        <f t="shared" si="3"/>
        <v>7.826614285914232</v>
      </c>
      <c r="M16">
        <f t="shared" si="3"/>
        <v>78.295096958627255</v>
      </c>
    </row>
    <row r="17" spans="1:13" x14ac:dyDescent="0.2">
      <c r="A17" t="s">
        <v>118</v>
      </c>
      <c r="B17" s="1" t="s">
        <v>113</v>
      </c>
      <c r="I17">
        <v>37.808099999999996</v>
      </c>
      <c r="J17">
        <v>307.95600000000002</v>
      </c>
      <c r="K17">
        <f t="shared" si="3"/>
        <v>9.6429763915474975</v>
      </c>
      <c r="L17">
        <f t="shared" si="3"/>
        <v>8.1445906782590196</v>
      </c>
      <c r="M17">
        <f t="shared" si="3"/>
        <v>78.408729999202365</v>
      </c>
    </row>
    <row r="18" spans="1:13" x14ac:dyDescent="0.2">
      <c r="A18" t="s">
        <v>118</v>
      </c>
      <c r="B18" t="s">
        <v>114</v>
      </c>
      <c r="I18">
        <v>67.930500000000023</v>
      </c>
      <c r="J18">
        <v>625.66166666666663</v>
      </c>
      <c r="K18">
        <f t="shared" si="3"/>
        <v>9.4358758228073309</v>
      </c>
      <c r="L18">
        <f t="shared" si="3"/>
        <v>9.1795588382074058</v>
      </c>
      <c r="M18">
        <f t="shared" si="3"/>
        <v>86.211761390731354</v>
      </c>
    </row>
    <row r="19" spans="1:13" x14ac:dyDescent="0.2">
      <c r="A19" t="s">
        <v>118</v>
      </c>
      <c r="B19" t="s">
        <v>115</v>
      </c>
      <c r="I19">
        <v>123.13913333333335</v>
      </c>
      <c r="J19">
        <v>1069.6510000000001</v>
      </c>
    </row>
    <row r="21" spans="1:13" x14ac:dyDescent="0.2">
      <c r="A21" t="s">
        <v>50</v>
      </c>
      <c r="B21" t="s">
        <v>115</v>
      </c>
      <c r="C21" t="s">
        <v>119</v>
      </c>
      <c r="D21">
        <v>1.23</v>
      </c>
    </row>
    <row r="22" spans="1:13" x14ac:dyDescent="0.2">
      <c r="A22" t="s">
        <v>120</v>
      </c>
      <c r="B22" t="s">
        <v>115</v>
      </c>
      <c r="C22" t="s">
        <v>119</v>
      </c>
      <c r="D22">
        <v>10.69</v>
      </c>
    </row>
    <row r="33" spans="3:3" x14ac:dyDescent="0.2">
      <c r="C33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B7FD-54AD-584D-B3FB-A0E9A7DADD7E}">
  <dimension ref="A1:R8"/>
  <sheetViews>
    <sheetView workbookViewId="0">
      <selection activeCell="K26" sqref="K26"/>
    </sheetView>
  </sheetViews>
  <sheetFormatPr baseColWidth="10" defaultRowHeight="15" x14ac:dyDescent="0.2"/>
  <sheetData>
    <row r="1" spans="1:18" x14ac:dyDescent="0.2">
      <c r="C1">
        <v>1989</v>
      </c>
      <c r="D1">
        <v>1990</v>
      </c>
      <c r="E1">
        <v>1991</v>
      </c>
      <c r="F1">
        <v>1992</v>
      </c>
      <c r="G1">
        <v>1993</v>
      </c>
      <c r="H1">
        <v>1994</v>
      </c>
      <c r="I1">
        <v>1995</v>
      </c>
      <c r="J1">
        <v>1996</v>
      </c>
      <c r="K1">
        <v>1997</v>
      </c>
      <c r="L1">
        <v>1998</v>
      </c>
      <c r="M1">
        <v>1999</v>
      </c>
      <c r="N1">
        <v>2000</v>
      </c>
      <c r="O1">
        <v>2001</v>
      </c>
      <c r="P1">
        <v>2002</v>
      </c>
      <c r="Q1">
        <v>2003</v>
      </c>
      <c r="R1">
        <v>2004</v>
      </c>
    </row>
    <row r="2" spans="1:18" x14ac:dyDescent="0.2">
      <c r="A2" t="s">
        <v>78</v>
      </c>
      <c r="B2" t="s">
        <v>127</v>
      </c>
      <c r="C2">
        <v>0.67749999999999999</v>
      </c>
      <c r="D2">
        <v>0.57000000000000006</v>
      </c>
      <c r="E2">
        <v>0.59000000000000008</v>
      </c>
      <c r="F2">
        <v>0.28999999999999998</v>
      </c>
      <c r="G2">
        <v>0.27250000000000002</v>
      </c>
      <c r="H2">
        <v>0.27999999999999997</v>
      </c>
      <c r="I2">
        <v>0.215</v>
      </c>
      <c r="J2">
        <v>0.16250000000000001</v>
      </c>
      <c r="K2">
        <v>0.1525</v>
      </c>
      <c r="L2">
        <v>0.26250000000000001</v>
      </c>
      <c r="M2">
        <v>0.25</v>
      </c>
      <c r="N2">
        <v>0.2225</v>
      </c>
      <c r="O2">
        <v>0.16750000000000001</v>
      </c>
      <c r="P2">
        <v>0.3125</v>
      </c>
      <c r="Q2">
        <v>0.20249999999999999</v>
      </c>
      <c r="R2">
        <v>0.25</v>
      </c>
    </row>
    <row r="3" spans="1:18" x14ac:dyDescent="0.2">
      <c r="A3" t="s">
        <v>78</v>
      </c>
      <c r="B3" t="s">
        <v>128</v>
      </c>
      <c r="C3">
        <v>0.32750000000000001</v>
      </c>
      <c r="D3">
        <v>0.12</v>
      </c>
      <c r="E3">
        <v>-3.4999999999999996E-2</v>
      </c>
      <c r="F3">
        <v>-0.20499999999999999</v>
      </c>
      <c r="G3">
        <v>-0.155</v>
      </c>
      <c r="H3">
        <v>-0.50250000000000006</v>
      </c>
      <c r="I3">
        <v>-0.36</v>
      </c>
      <c r="J3">
        <v>8.7499999999999994E-2</v>
      </c>
      <c r="K3">
        <v>2.7500000000000004E-2</v>
      </c>
      <c r="L3">
        <v>-6.5000000000000002E-2</v>
      </c>
      <c r="M3">
        <v>2.2499999999999999E-2</v>
      </c>
      <c r="N3">
        <v>-0.14250000000000002</v>
      </c>
      <c r="O3">
        <v>-0.05</v>
      </c>
      <c r="P3">
        <v>-0.16750000000000001</v>
      </c>
      <c r="Q3">
        <v>-0.11750000000000001</v>
      </c>
      <c r="R3">
        <v>1.2500000000000001E-2</v>
      </c>
    </row>
    <row r="4" spans="1:18" x14ac:dyDescent="0.2">
      <c r="A4" t="s">
        <v>65</v>
      </c>
      <c r="B4" t="s">
        <v>64</v>
      </c>
      <c r="C4">
        <v>3.1</v>
      </c>
      <c r="D4">
        <v>2.4390335305719919</v>
      </c>
      <c r="E4">
        <v>1.6620833333333334</v>
      </c>
      <c r="F4">
        <v>2.5602277432712217</v>
      </c>
      <c r="G4">
        <v>2.8104318181818182</v>
      </c>
      <c r="H4">
        <v>1.3724639289678138</v>
      </c>
      <c r="I4">
        <v>1.5098778998778999</v>
      </c>
      <c r="J4">
        <v>3.5739595375722542</v>
      </c>
      <c r="K4">
        <v>2.944261904761905</v>
      </c>
      <c r="L4">
        <v>1.4565253239104829</v>
      </c>
      <c r="M4">
        <v>1.6946553378100591</v>
      </c>
      <c r="N4">
        <v>1.7630310806957514</v>
      </c>
      <c r="O4">
        <v>2.1283820998278831</v>
      </c>
      <c r="P4">
        <v>1.345582154515778</v>
      </c>
      <c r="Q4">
        <v>1.9083179012345681</v>
      </c>
      <c r="R4">
        <v>1.6313852242744065</v>
      </c>
    </row>
    <row r="5" spans="1:18" x14ac:dyDescent="0.2">
      <c r="A5" t="s">
        <v>79</v>
      </c>
      <c r="B5" t="s">
        <v>77</v>
      </c>
      <c r="C5">
        <v>150</v>
      </c>
      <c r="D5">
        <v>150</v>
      </c>
      <c r="E5">
        <v>150</v>
      </c>
      <c r="F5">
        <v>150</v>
      </c>
      <c r="G5">
        <v>150</v>
      </c>
      <c r="H5">
        <v>150</v>
      </c>
      <c r="I5">
        <v>150</v>
      </c>
      <c r="J5">
        <v>150</v>
      </c>
      <c r="K5">
        <v>150</v>
      </c>
      <c r="L5">
        <v>150</v>
      </c>
      <c r="M5">
        <v>150</v>
      </c>
      <c r="N5">
        <v>150</v>
      </c>
      <c r="O5">
        <v>150</v>
      </c>
      <c r="P5">
        <v>150</v>
      </c>
      <c r="Q5">
        <v>150</v>
      </c>
      <c r="R5">
        <v>150</v>
      </c>
    </row>
    <row r="6" spans="1:18" x14ac:dyDescent="0.2">
      <c r="A6" t="s">
        <v>83</v>
      </c>
      <c r="B6" t="s">
        <v>125</v>
      </c>
      <c r="C6">
        <f>359.2/40</f>
        <v>8.98</v>
      </c>
      <c r="D6">
        <f>425/40</f>
        <v>10.625</v>
      </c>
      <c r="E6">
        <f>564/40</f>
        <v>14.1</v>
      </c>
      <c r="F6">
        <f>458/40</f>
        <v>11.45</v>
      </c>
      <c r="G6">
        <f>426/40</f>
        <v>10.65</v>
      </c>
      <c r="H6">
        <f>516/40</f>
        <v>12.9</v>
      </c>
      <c r="I6">
        <f>374/40</f>
        <v>9.35</v>
      </c>
      <c r="J6">
        <f>173/40</f>
        <v>4.3250000000000002</v>
      </c>
      <c r="K6">
        <f>176/40</f>
        <v>4.4000000000000004</v>
      </c>
      <c r="L6">
        <f>485/40</f>
        <v>12.125</v>
      </c>
      <c r="M6">
        <f>361.4/40</f>
        <v>9.0350000000000001</v>
      </c>
      <c r="N6">
        <f>310.7/40</f>
        <v>7.7675000000000001</v>
      </c>
      <c r="O6">
        <f>270.7/40</f>
        <v>6.7675000000000001</v>
      </c>
      <c r="P6">
        <f>401/40</f>
        <v>10.025</v>
      </c>
      <c r="Q6">
        <v>6.125</v>
      </c>
    </row>
    <row r="7" spans="1:18" x14ac:dyDescent="0.2">
      <c r="A7" t="s">
        <v>83</v>
      </c>
      <c r="B7" t="s">
        <v>126</v>
      </c>
      <c r="C7">
        <f>261/40</f>
        <v>6.5250000000000004</v>
      </c>
      <c r="D7">
        <f>315/40</f>
        <v>7.875</v>
      </c>
      <c r="E7">
        <f>494/40</f>
        <v>12.35</v>
      </c>
      <c r="F7">
        <f>291/40</f>
        <v>7.2750000000000004</v>
      </c>
      <c r="G7">
        <f>280/40</f>
        <v>7</v>
      </c>
      <c r="H7">
        <f>218/40</f>
        <v>5.45</v>
      </c>
      <c r="I7">
        <f>167/40</f>
        <v>4.1749999999999998</v>
      </c>
      <c r="J7">
        <f>152/40</f>
        <v>3.8</v>
      </c>
      <c r="K7">
        <f>131/40</f>
        <v>3.2749999999999999</v>
      </c>
      <c r="L7">
        <f>303/40</f>
        <v>7.5750000000000002</v>
      </c>
      <c r="M7">
        <f>234/40</f>
        <v>5.85</v>
      </c>
      <c r="N7">
        <f>126/40</f>
        <v>3.15</v>
      </c>
      <c r="O7">
        <f>157/40</f>
        <v>3.9249999999999998</v>
      </c>
      <c r="P7">
        <f>224/40</f>
        <v>5.6</v>
      </c>
      <c r="Q7">
        <v>3.0249999999999999</v>
      </c>
    </row>
    <row r="8" spans="1:18" x14ac:dyDescent="0.2">
      <c r="B8" t="s">
        <v>84</v>
      </c>
      <c r="C8">
        <f t="shared" ref="C8:Q8" si="0">C7/C6*100</f>
        <v>72.661469933184847</v>
      </c>
      <c r="D8">
        <f t="shared" si="0"/>
        <v>74.117647058823536</v>
      </c>
      <c r="E8">
        <f t="shared" si="0"/>
        <v>87.588652482269509</v>
      </c>
      <c r="F8">
        <f t="shared" si="0"/>
        <v>63.537117903930138</v>
      </c>
      <c r="G8">
        <f t="shared" si="0"/>
        <v>65.727699530516432</v>
      </c>
      <c r="H8">
        <f t="shared" si="0"/>
        <v>42.248062015503876</v>
      </c>
      <c r="I8">
        <f t="shared" si="0"/>
        <v>44.652406417112303</v>
      </c>
      <c r="J8">
        <f t="shared" si="0"/>
        <v>87.861271676300561</v>
      </c>
      <c r="K8">
        <f t="shared" si="0"/>
        <v>74.431818181818173</v>
      </c>
      <c r="L8">
        <f t="shared" si="0"/>
        <v>62.47422680412371</v>
      </c>
      <c r="M8">
        <f t="shared" si="0"/>
        <v>64.748201438848923</v>
      </c>
      <c r="N8">
        <f t="shared" si="0"/>
        <v>40.55358867074348</v>
      </c>
      <c r="O8">
        <f t="shared" si="0"/>
        <v>57.997783524196521</v>
      </c>
      <c r="P8">
        <f t="shared" si="0"/>
        <v>55.86034912718204</v>
      </c>
      <c r="Q8">
        <f t="shared" si="0"/>
        <v>49.387755102040813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 Sand-Jensen</dc:creator>
  <cp:lastModifiedBy>Jonas Stage Sø</cp:lastModifiedBy>
  <dcterms:created xsi:type="dcterms:W3CDTF">2024-11-27T14:34:32Z</dcterms:created>
  <dcterms:modified xsi:type="dcterms:W3CDTF">2024-12-04T13:02:49Z</dcterms:modified>
</cp:coreProperties>
</file>