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Output/"/>
    </mc:Choice>
  </mc:AlternateContent>
  <xr:revisionPtr revIDLastSave="3" documentId="8_{1BAB5179-219A-284E-A3FA-7E57D0D82F86}" xr6:coauthVersionLast="47" xr6:coauthVersionMax="47" xr10:uidLastSave="{AF5459FB-1D5E-6146-9179-D5A95681AD4F}"/>
  <bookViews>
    <workbookView xWindow="0" yWindow="500" windowWidth="28800" windowHeight="17500" xr2:uid="{00000000-000D-0000-FFFF-FFFF00000000}"/>
  </bookViews>
  <sheets>
    <sheet name="Arresø_kanal_outflo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" l="1"/>
  <c r="AK5" i="1"/>
  <c r="AH4" i="1" l="1"/>
  <c r="V20" i="1"/>
  <c r="X20" i="1"/>
  <c r="AH29" i="1"/>
  <c r="X29" i="1"/>
  <c r="X16" i="1"/>
  <c r="J46" i="1"/>
  <c r="S23" i="1"/>
  <c r="K54" i="1"/>
  <c r="F53" i="1"/>
  <c r="K53" i="1"/>
  <c r="J53" i="1"/>
  <c r="T22" i="1"/>
  <c r="AA6" i="1"/>
  <c r="U5" i="1"/>
  <c r="F51" i="1"/>
  <c r="AI6" i="1" l="1"/>
  <c r="AI7" i="1"/>
  <c r="AI8" i="1"/>
  <c r="AI9" i="1"/>
  <c r="AI15" i="1"/>
  <c r="AI16" i="1"/>
  <c r="AI17" i="1"/>
  <c r="AI23" i="1"/>
  <c r="AI24" i="1"/>
  <c r="AI25" i="1"/>
  <c r="AI31" i="1"/>
  <c r="AI32" i="1"/>
  <c r="AI33" i="1"/>
  <c r="AI4" i="1"/>
  <c r="AI5" i="1"/>
  <c r="AK6" i="1"/>
  <c r="AK7" i="1"/>
  <c r="AK8" i="1"/>
  <c r="AK9" i="1"/>
  <c r="AK10" i="1"/>
  <c r="AI10" i="1" s="1"/>
  <c r="AK11" i="1"/>
  <c r="AI11" i="1" s="1"/>
  <c r="AK12" i="1"/>
  <c r="AI12" i="1" s="1"/>
  <c r="AK13" i="1"/>
  <c r="AI13" i="1" s="1"/>
  <c r="AK14" i="1"/>
  <c r="AI14" i="1" s="1"/>
  <c r="AK15" i="1"/>
  <c r="AK16" i="1"/>
  <c r="AK17" i="1"/>
  <c r="AK18" i="1"/>
  <c r="AI18" i="1" s="1"/>
  <c r="AK19" i="1"/>
  <c r="AI19" i="1" s="1"/>
  <c r="AK20" i="1"/>
  <c r="AI20" i="1" s="1"/>
  <c r="AK21" i="1"/>
  <c r="AI21" i="1" s="1"/>
  <c r="AK22" i="1"/>
  <c r="AI22" i="1" s="1"/>
  <c r="AK23" i="1"/>
  <c r="AK24" i="1"/>
  <c r="AK25" i="1"/>
  <c r="AK26" i="1"/>
  <c r="AI26" i="1" s="1"/>
  <c r="AK27" i="1"/>
  <c r="AI27" i="1" s="1"/>
  <c r="AK28" i="1"/>
  <c r="AI28" i="1" s="1"/>
  <c r="AK29" i="1"/>
  <c r="AI29" i="1" s="1"/>
  <c r="AK30" i="1"/>
  <c r="AI30" i="1" s="1"/>
  <c r="AK31" i="1"/>
  <c r="AK32" i="1"/>
  <c r="AK33" i="1"/>
  <c r="AK34" i="1"/>
  <c r="AI34" i="1" s="1"/>
  <c r="AK35" i="1"/>
  <c r="AI35" i="1" s="1"/>
  <c r="AK36" i="1"/>
  <c r="AI36" i="1" s="1"/>
  <c r="AK37" i="1"/>
  <c r="AI37" i="1" s="1"/>
  <c r="AK38" i="1"/>
  <c r="AI38" i="1" s="1"/>
  <c r="AH7" i="1"/>
  <c r="AH8" i="1"/>
  <c r="AH9" i="1"/>
  <c r="AH10" i="1"/>
  <c r="AH15" i="1"/>
  <c r="AH16" i="1"/>
  <c r="AH17" i="1"/>
  <c r="AH18" i="1"/>
  <c r="AH24" i="1"/>
  <c r="AH25" i="1"/>
  <c r="AH26" i="1"/>
  <c r="AH27" i="1"/>
  <c r="AH32" i="1"/>
  <c r="AH33" i="1"/>
  <c r="AH34" i="1"/>
  <c r="AH35" i="1"/>
  <c r="AG6" i="1"/>
  <c r="AG7" i="1"/>
  <c r="AG8" i="1"/>
  <c r="AG14" i="1"/>
  <c r="AG15" i="1"/>
  <c r="AG16" i="1"/>
  <c r="AG23" i="1"/>
  <c r="AG24" i="1"/>
  <c r="AG25" i="1"/>
  <c r="AG31" i="1"/>
  <c r="AG32" i="1"/>
  <c r="AG33" i="1"/>
  <c r="AG4" i="1"/>
  <c r="AF5" i="1"/>
  <c r="AG5" i="1" s="1"/>
  <c r="AF6" i="1"/>
  <c r="AH6" i="1" s="1"/>
  <c r="AF7" i="1"/>
  <c r="AF8" i="1"/>
  <c r="AF9" i="1"/>
  <c r="AG9" i="1" s="1"/>
  <c r="AF10" i="1"/>
  <c r="AG10" i="1" s="1"/>
  <c r="AF11" i="1"/>
  <c r="AH11" i="1" s="1"/>
  <c r="AF12" i="1"/>
  <c r="AH12" i="1" s="1"/>
  <c r="AF13" i="1"/>
  <c r="AH13" i="1" s="1"/>
  <c r="AF14" i="1"/>
  <c r="AH14" i="1" s="1"/>
  <c r="AF15" i="1"/>
  <c r="AF16" i="1"/>
  <c r="AF17" i="1"/>
  <c r="AG17" i="1" s="1"/>
  <c r="AF18" i="1"/>
  <c r="AG18" i="1" s="1"/>
  <c r="AF19" i="1"/>
  <c r="AH19" i="1" s="1"/>
  <c r="AF20" i="1"/>
  <c r="AH20" i="1" s="1"/>
  <c r="AF22" i="1"/>
  <c r="AH22" i="1" s="1"/>
  <c r="AF23" i="1"/>
  <c r="AH23" i="1" s="1"/>
  <c r="AF24" i="1"/>
  <c r="AF25" i="1"/>
  <c r="AF26" i="1"/>
  <c r="AG26" i="1" s="1"/>
  <c r="AF27" i="1"/>
  <c r="AG27" i="1" s="1"/>
  <c r="AF28" i="1"/>
  <c r="AH28" i="1" s="1"/>
  <c r="AF29" i="1"/>
  <c r="AG29" i="1" s="1"/>
  <c r="AF30" i="1"/>
  <c r="AG30" i="1" s="1"/>
  <c r="AF31" i="1"/>
  <c r="AH31" i="1" s="1"/>
  <c r="AF32" i="1"/>
  <c r="AF33" i="1"/>
  <c r="AF34" i="1"/>
  <c r="AG34" i="1" s="1"/>
  <c r="AF35" i="1"/>
  <c r="AG35" i="1" s="1"/>
  <c r="AF36" i="1"/>
  <c r="AH36" i="1" s="1"/>
  <c r="AF37" i="1"/>
  <c r="AH37" i="1" s="1"/>
  <c r="AF38" i="1"/>
  <c r="AH38" i="1" s="1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D4" i="1"/>
  <c r="AE4" i="1" s="1"/>
  <c r="I57" i="1"/>
  <c r="AG22" i="1" l="1"/>
  <c r="AG12" i="1"/>
  <c r="AH30" i="1"/>
  <c r="AG38" i="1"/>
  <c r="AG13" i="1"/>
  <c r="AG37" i="1"/>
  <c r="AG20" i="1"/>
  <c r="AG28" i="1"/>
  <c r="AG19" i="1"/>
  <c r="AH5" i="1"/>
  <c r="AH40" i="1" s="1"/>
  <c r="AG36" i="1"/>
  <c r="AG11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1" i="1"/>
  <c r="AB26" i="1"/>
  <c r="AB27" i="1"/>
  <c r="AB28" i="1"/>
  <c r="AB29" i="1"/>
  <c r="AB34" i="1"/>
  <c r="AB35" i="1"/>
  <c r="AB36" i="1"/>
  <c r="AB37" i="1"/>
  <c r="AB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5" i="1"/>
  <c r="AA26" i="1"/>
  <c r="AA27" i="1"/>
  <c r="AA28" i="1"/>
  <c r="AA33" i="1"/>
  <c r="AA34" i="1"/>
  <c r="AA35" i="1"/>
  <c r="AA36" i="1"/>
  <c r="AA5" i="1"/>
  <c r="Z9" i="1"/>
  <c r="Z10" i="1"/>
  <c r="Z17" i="1"/>
  <c r="Z18" i="1"/>
  <c r="Z21" i="1"/>
  <c r="Y21" i="1"/>
  <c r="Y5" i="1"/>
  <c r="X10" i="1"/>
  <c r="X11" i="1"/>
  <c r="X12" i="1"/>
  <c r="X13" i="1"/>
  <c r="X18" i="1"/>
  <c r="X19" i="1"/>
  <c r="X21" i="1"/>
  <c r="X26" i="1"/>
  <c r="X27" i="1"/>
  <c r="X34" i="1"/>
  <c r="X35" i="1"/>
  <c r="W9" i="1"/>
  <c r="W10" i="1"/>
  <c r="W11" i="1"/>
  <c r="W12" i="1"/>
  <c r="W17" i="1"/>
  <c r="W18" i="1"/>
  <c r="W19" i="1"/>
  <c r="W21" i="1"/>
  <c r="W26" i="1"/>
  <c r="W34" i="1"/>
  <c r="Y20" i="1"/>
  <c r="U6" i="1"/>
  <c r="W6" i="1" s="1"/>
  <c r="U7" i="1"/>
  <c r="Z7" i="1" s="1"/>
  <c r="U8" i="1"/>
  <c r="Z8" i="1" s="1"/>
  <c r="U9" i="1"/>
  <c r="U10" i="1"/>
  <c r="U11" i="1"/>
  <c r="Z11" i="1" s="1"/>
  <c r="U12" i="1"/>
  <c r="Z12" i="1" s="1"/>
  <c r="U13" i="1"/>
  <c r="W13" i="1" s="1"/>
  <c r="U14" i="1"/>
  <c r="Z14" i="1" s="1"/>
  <c r="U15" i="1"/>
  <c r="W15" i="1" s="1"/>
  <c r="U16" i="1"/>
  <c r="Z16" i="1" s="1"/>
  <c r="U17" i="1"/>
  <c r="U18" i="1"/>
  <c r="U19" i="1"/>
  <c r="Z19" i="1" s="1"/>
  <c r="U22" i="1"/>
  <c r="W22" i="1" s="1"/>
  <c r="U23" i="1"/>
  <c r="W23" i="1" s="1"/>
  <c r="U24" i="1"/>
  <c r="W24" i="1" s="1"/>
  <c r="U25" i="1"/>
  <c r="W25" i="1" s="1"/>
  <c r="U26" i="1"/>
  <c r="Z26" i="1" s="1"/>
  <c r="U31" i="1"/>
  <c r="Z31" i="1" s="1"/>
  <c r="U32" i="1"/>
  <c r="W32" i="1" s="1"/>
  <c r="U33" i="1"/>
  <c r="W33" i="1" s="1"/>
  <c r="U34" i="1"/>
  <c r="Z34" i="1" s="1"/>
  <c r="Z5" i="1"/>
  <c r="V6" i="1"/>
  <c r="Y6" i="1" s="1"/>
  <c r="V7" i="1"/>
  <c r="X7" i="1" s="1"/>
  <c r="V8" i="1"/>
  <c r="X8" i="1" s="1"/>
  <c r="V9" i="1"/>
  <c r="Y9" i="1" s="1"/>
  <c r="V10" i="1"/>
  <c r="Y10" i="1" s="1"/>
  <c r="V11" i="1"/>
  <c r="Y11" i="1" s="1"/>
  <c r="V12" i="1"/>
  <c r="Y12" i="1" s="1"/>
  <c r="V13" i="1"/>
  <c r="Y13" i="1" s="1"/>
  <c r="V14" i="1"/>
  <c r="X14" i="1" s="1"/>
  <c r="V15" i="1"/>
  <c r="X15" i="1" s="1"/>
  <c r="V16" i="1"/>
  <c r="V17" i="1"/>
  <c r="Y17" i="1" s="1"/>
  <c r="V18" i="1"/>
  <c r="Y18" i="1" s="1"/>
  <c r="V19" i="1"/>
  <c r="Y19" i="1" s="1"/>
  <c r="V25" i="1"/>
  <c r="Y25" i="1" s="1"/>
  <c r="V26" i="1"/>
  <c r="Y26" i="1" s="1"/>
  <c r="V27" i="1"/>
  <c r="Y27" i="1" s="1"/>
  <c r="V33" i="1"/>
  <c r="Y33" i="1" s="1"/>
  <c r="V34" i="1"/>
  <c r="Y34" i="1" s="1"/>
  <c r="V35" i="1"/>
  <c r="Y35" i="1" s="1"/>
  <c r="V5" i="1"/>
  <c r="X5" i="1" s="1"/>
  <c r="T23" i="1"/>
  <c r="V23" i="1" s="1"/>
  <c r="T24" i="1"/>
  <c r="AA24" i="1" s="1"/>
  <c r="T25" i="1"/>
  <c r="T26" i="1"/>
  <c r="T27" i="1"/>
  <c r="T28" i="1"/>
  <c r="V28" i="1" s="1"/>
  <c r="T29" i="1"/>
  <c r="AA29" i="1" s="1"/>
  <c r="T30" i="1"/>
  <c r="V30" i="1" s="1"/>
  <c r="T31" i="1"/>
  <c r="AA31" i="1" s="1"/>
  <c r="T32" i="1"/>
  <c r="AA32" i="1" s="1"/>
  <c r="T33" i="1"/>
  <c r="T34" i="1"/>
  <c r="T35" i="1"/>
  <c r="T36" i="1"/>
  <c r="V36" i="1" s="1"/>
  <c r="T37" i="1"/>
  <c r="AA37" i="1" s="1"/>
  <c r="T38" i="1"/>
  <c r="AA38" i="1" s="1"/>
  <c r="AA22" i="1"/>
  <c r="S20" i="1"/>
  <c r="U20" i="1" s="1"/>
  <c r="AB23" i="1"/>
  <c r="S24" i="1"/>
  <c r="AB24" i="1" s="1"/>
  <c r="S25" i="1"/>
  <c r="AB25" i="1" s="1"/>
  <c r="S26" i="1"/>
  <c r="S27" i="1"/>
  <c r="U27" i="1" s="1"/>
  <c r="S28" i="1"/>
  <c r="U28" i="1" s="1"/>
  <c r="S29" i="1"/>
  <c r="U29" i="1" s="1"/>
  <c r="S30" i="1"/>
  <c r="U30" i="1" s="1"/>
  <c r="S31" i="1"/>
  <c r="AB31" i="1" s="1"/>
  <c r="S32" i="1"/>
  <c r="AB32" i="1" s="1"/>
  <c r="S33" i="1"/>
  <c r="AB33" i="1" s="1"/>
  <c r="S34" i="1"/>
  <c r="S35" i="1"/>
  <c r="U35" i="1" s="1"/>
  <c r="S36" i="1"/>
  <c r="U36" i="1" s="1"/>
  <c r="S37" i="1"/>
  <c r="U37" i="1" s="1"/>
  <c r="S38" i="1"/>
  <c r="U38" i="1" s="1"/>
  <c r="S22" i="1"/>
  <c r="AB22" i="1" s="1"/>
  <c r="P27" i="1"/>
  <c r="P29" i="1"/>
  <c r="P34" i="1"/>
  <c r="P36" i="1"/>
  <c r="P33" i="1"/>
  <c r="P32" i="1"/>
  <c r="P26" i="1"/>
  <c r="P25" i="1"/>
  <c r="P24" i="1"/>
  <c r="K47" i="1"/>
  <c r="K48" i="1"/>
  <c r="K49" i="1"/>
  <c r="K50" i="1"/>
  <c r="K46" i="1"/>
  <c r="K52" i="1" s="1"/>
  <c r="J47" i="1"/>
  <c r="J48" i="1"/>
  <c r="J49" i="1"/>
  <c r="J50" i="1"/>
  <c r="J52" i="1"/>
  <c r="P22" i="1"/>
  <c r="P23" i="1"/>
  <c r="P30" i="1"/>
  <c r="P31" i="1"/>
  <c r="P35" i="1"/>
  <c r="P38" i="1"/>
  <c r="K4" i="1"/>
  <c r="K5" i="1"/>
  <c r="K6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" i="1"/>
  <c r="K8" i="1"/>
  <c r="K9" i="1"/>
  <c r="K10" i="1"/>
  <c r="K11" i="1"/>
  <c r="K16" i="1"/>
  <c r="K17" i="1"/>
  <c r="K18" i="1"/>
  <c r="K19" i="1"/>
  <c r="I4" i="1"/>
  <c r="I5" i="1"/>
  <c r="P5" i="1" s="1"/>
  <c r="I6" i="1"/>
  <c r="P6" i="1" s="1"/>
  <c r="I7" i="1"/>
  <c r="P7" i="1" s="1"/>
  <c r="I8" i="1"/>
  <c r="P8" i="1" s="1"/>
  <c r="I9" i="1"/>
  <c r="P9" i="1" s="1"/>
  <c r="I10" i="1"/>
  <c r="P10" i="1" s="1"/>
  <c r="I11" i="1"/>
  <c r="P11" i="1" s="1"/>
  <c r="I12" i="1"/>
  <c r="K12" i="1" s="1"/>
  <c r="I13" i="1"/>
  <c r="K13" i="1" s="1"/>
  <c r="I14" i="1"/>
  <c r="K14" i="1" s="1"/>
  <c r="I15" i="1"/>
  <c r="P15" i="1" s="1"/>
  <c r="I16" i="1"/>
  <c r="P16" i="1" s="1"/>
  <c r="I17" i="1"/>
  <c r="P17" i="1" s="1"/>
  <c r="I18" i="1"/>
  <c r="P18" i="1" s="1"/>
  <c r="I19" i="1"/>
  <c r="P19" i="1" s="1"/>
  <c r="I20" i="1"/>
  <c r="K20" i="1" s="1"/>
  <c r="I21" i="1"/>
  <c r="P21" i="1" s="1"/>
  <c r="I3" i="1"/>
  <c r="K3" i="1" s="1"/>
  <c r="Z35" i="1" l="1"/>
  <c r="W35" i="1"/>
  <c r="Z38" i="1"/>
  <c r="W38" i="1"/>
  <c r="W30" i="1"/>
  <c r="Z30" i="1"/>
  <c r="Z20" i="1"/>
  <c r="W20" i="1"/>
  <c r="Z27" i="1"/>
  <c r="W27" i="1"/>
  <c r="Y28" i="1"/>
  <c r="X28" i="1"/>
  <c r="W29" i="1"/>
  <c r="Z29" i="1"/>
  <c r="Y36" i="1"/>
  <c r="X36" i="1"/>
  <c r="W37" i="1"/>
  <c r="Z37" i="1"/>
  <c r="X23" i="1"/>
  <c r="Y23" i="1"/>
  <c r="Z36" i="1"/>
  <c r="W36" i="1"/>
  <c r="Z28" i="1"/>
  <c r="W28" i="1"/>
  <c r="Y30" i="1"/>
  <c r="X30" i="1"/>
  <c r="Z33" i="1"/>
  <c r="K51" i="1"/>
  <c r="V32" i="1"/>
  <c r="Y14" i="1"/>
  <c r="AB20" i="1"/>
  <c r="P13" i="1"/>
  <c r="Z23" i="1"/>
  <c r="V22" i="1"/>
  <c r="W8" i="1"/>
  <c r="X6" i="1"/>
  <c r="Y16" i="1"/>
  <c r="Y8" i="1"/>
  <c r="AB38" i="1"/>
  <c r="AB30" i="1"/>
  <c r="K7" i="1"/>
  <c r="Y7" i="1"/>
  <c r="P14" i="1"/>
  <c r="V24" i="1"/>
  <c r="Z24" i="1"/>
  <c r="V31" i="1"/>
  <c r="Z15" i="1"/>
  <c r="K15" i="1"/>
  <c r="P12" i="1"/>
  <c r="V38" i="1"/>
  <c r="W16" i="1"/>
  <c r="Z22" i="1"/>
  <c r="J51" i="1"/>
  <c r="V37" i="1"/>
  <c r="V29" i="1"/>
  <c r="W5" i="1"/>
  <c r="W31" i="1"/>
  <c r="W7" i="1"/>
  <c r="X33" i="1"/>
  <c r="X25" i="1"/>
  <c r="X17" i="1"/>
  <c r="X9" i="1"/>
  <c r="Z13" i="1"/>
  <c r="AA23" i="1"/>
  <c r="Y15" i="1"/>
  <c r="P20" i="1"/>
  <c r="Z6" i="1"/>
  <c r="K21" i="1"/>
  <c r="W14" i="1"/>
  <c r="AA30" i="1"/>
  <c r="AH39" i="1"/>
  <c r="Z25" i="1"/>
  <c r="Z32" i="1"/>
  <c r="P28" i="1"/>
  <c r="P37" i="1"/>
  <c r="Y29" i="1" l="1"/>
  <c r="X24" i="1"/>
  <c r="Y24" i="1"/>
  <c r="X37" i="1"/>
  <c r="Y37" i="1"/>
  <c r="X31" i="1"/>
  <c r="Y31" i="1"/>
  <c r="X32" i="1"/>
  <c r="Y32" i="1"/>
  <c r="L54" i="1"/>
  <c r="Y38" i="1"/>
  <c r="X38" i="1"/>
  <c r="Y22" i="1"/>
  <c r="X22" i="1"/>
</calcChain>
</file>

<file path=xl/sharedStrings.xml><?xml version="1.0" encoding="utf-8"?>
<sst xmlns="http://schemas.openxmlformats.org/spreadsheetml/2006/main" count="187" uniqueCount="79">
  <si>
    <t>year</t>
  </si>
  <si>
    <t>discharge</t>
  </si>
  <si>
    <t>data_type</t>
  </si>
  <si>
    <t>measured</t>
  </si>
  <si>
    <t>predicted</t>
  </si>
  <si>
    <t>liter per dag</t>
  </si>
  <si>
    <t>TN fraført via Arresø kanal</t>
  </si>
  <si>
    <t>TP fraført via Arresø kanal</t>
  </si>
  <si>
    <t>TN tilført til Arresø</t>
  </si>
  <si>
    <t>TP tilført til Arresø</t>
  </si>
  <si>
    <t>Tons N per år</t>
  </si>
  <si>
    <t>Tons P per år</t>
  </si>
  <si>
    <t>Flowvægtet</t>
  </si>
  <si>
    <t>TP /mg/L)</t>
  </si>
  <si>
    <t>TN (mg/L)</t>
  </si>
  <si>
    <t>TN/TP</t>
  </si>
  <si>
    <t>ÅR</t>
  </si>
  <si>
    <t>Tilført</t>
  </si>
  <si>
    <t>Predicted</t>
  </si>
  <si>
    <t>faktot</t>
  </si>
  <si>
    <t>TP</t>
  </si>
  <si>
    <t>TN</t>
  </si>
  <si>
    <t>Pøleå</t>
  </si>
  <si>
    <t>Æbelholt</t>
  </si>
  <si>
    <t>Lyngby</t>
  </si>
  <si>
    <t>Ramløse</t>
  </si>
  <si>
    <t>Umålt</t>
  </si>
  <si>
    <t>Areal</t>
  </si>
  <si>
    <t>Q, l/km2</t>
  </si>
  <si>
    <t>Kg/ha</t>
  </si>
  <si>
    <t>kg/ha</t>
  </si>
  <si>
    <t>Total</t>
  </si>
  <si>
    <t>TOT</t>
  </si>
  <si>
    <t>Ny prediction</t>
  </si>
  <si>
    <t>P+Æ+L</t>
  </si>
  <si>
    <t>TOT/(P+Æ+L)</t>
  </si>
  <si>
    <t>Tilført N Korr</t>
  </si>
  <si>
    <t>Tilført P korr</t>
  </si>
  <si>
    <t>Tilført-Fraført</t>
  </si>
  <si>
    <t>Til-Fra</t>
  </si>
  <si>
    <t>Retetent N</t>
  </si>
  <si>
    <t>%</t>
  </si>
  <si>
    <t>Retention P</t>
  </si>
  <si>
    <t>P til -fra</t>
  </si>
  <si>
    <t>N til-fra</t>
  </si>
  <si>
    <t>g P/m2/å2</t>
  </si>
  <si>
    <t>g N/m2/år</t>
  </si>
  <si>
    <t>TP tilført</t>
  </si>
  <si>
    <t>mg P/L</t>
  </si>
  <si>
    <t>TN tilført</t>
  </si>
  <si>
    <t>mg N/L</t>
  </si>
  <si>
    <t>x</t>
  </si>
  <si>
    <t>y</t>
  </si>
  <si>
    <t>z</t>
  </si>
  <si>
    <t>Tilført korrigeret for nedbør</t>
  </si>
  <si>
    <t>Tilbageholdt</t>
  </si>
  <si>
    <t>g/m2/år</t>
  </si>
  <si>
    <t>Tilbagehold</t>
  </si>
  <si>
    <t>% af tilført</t>
  </si>
  <si>
    <t>Mean</t>
  </si>
  <si>
    <t>SD</t>
  </si>
  <si>
    <t xml:space="preserve">Retention </t>
  </si>
  <si>
    <t>rate (per år)</t>
  </si>
  <si>
    <t>Retention</t>
  </si>
  <si>
    <t>time (year)</t>
  </si>
  <si>
    <t>TP fra</t>
  </si>
  <si>
    <t>TP til</t>
  </si>
  <si>
    <t>År siden 1979</t>
  </si>
  <si>
    <t>nedbør</t>
  </si>
  <si>
    <t>P+Æ+L/T</t>
  </si>
  <si>
    <t>JONAS</t>
  </si>
  <si>
    <t>Opregulering af den samlede tilførsel</t>
  </si>
  <si>
    <t>til Arresø</t>
  </si>
  <si>
    <t>KONCENTRATION AF TP (mg/L)</t>
  </si>
  <si>
    <t>Middelkonc af TN (blå) og TN/TP forhold</t>
  </si>
  <si>
    <t>Annula retention (%) versus retention time (year)</t>
  </si>
  <si>
    <t>Måske skal tilførslen revideres</t>
  </si>
  <si>
    <t>P nedbør korrigeret</t>
  </si>
  <si>
    <t>N nedbør korrigeret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</si>
</sst>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E+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33" borderId="0" xfId="0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 in outlet vs-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50962379702539E-2"/>
          <c:y val="0.18916666666666668"/>
          <c:w val="0.87028237095363081"/>
          <c:h val="0.73353346456692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Arresø_kanal_outflow!$I$2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0728346456692915E-2"/>
                  <c:y val="-0.3328853164187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Arresø_kanal_outflow!$H$3:$H$38</c:f>
              <c:numCache>
                <c:formatCode>General</c:formatCode>
                <c:ptCount val="36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</c:numCache>
            </c:numRef>
          </c:xVal>
          <c:yVal>
            <c:numRef>
              <c:f>Arresø_kanal_outflow!$I$3:$I$38</c:f>
              <c:numCache>
                <c:formatCode>General</c:formatCode>
                <c:ptCount val="36"/>
                <c:pt idx="0">
                  <c:v>1.1307105022831114</c:v>
                </c:pt>
                <c:pt idx="1">
                  <c:v>0.59179661016949359</c:v>
                </c:pt>
                <c:pt idx="2">
                  <c:v>0.57019099804304962</c:v>
                </c:pt>
                <c:pt idx="3">
                  <c:v>0.56101369863013473</c:v>
                </c:pt>
                <c:pt idx="4">
                  <c:v>0.48298434442270116</c:v>
                </c:pt>
                <c:pt idx="5">
                  <c:v>0.46850897736143904</c:v>
                </c:pt>
                <c:pt idx="6">
                  <c:v>0.49590998043052731</c:v>
                </c:pt>
                <c:pt idx="7">
                  <c:v>0.48521135029354212</c:v>
                </c:pt>
                <c:pt idx="8">
                  <c:v>0.32140704500978501</c:v>
                </c:pt>
                <c:pt idx="9">
                  <c:v>0.18674960967993812</c:v>
                </c:pt>
                <c:pt idx="10">
                  <c:v>0.22583219178082192</c:v>
                </c:pt>
                <c:pt idx="11">
                  <c:v>0.23609178082191826</c:v>
                </c:pt>
                <c:pt idx="12">
                  <c:v>0.18937935420743679</c:v>
                </c:pt>
                <c:pt idx="13">
                  <c:v>0.22814227166276346</c:v>
                </c:pt>
                <c:pt idx="14">
                  <c:v>0.17113776908023479</c:v>
                </c:pt>
                <c:pt idx="15">
                  <c:v>0.25082829745596846</c:v>
                </c:pt>
                <c:pt idx="16">
                  <c:v>0.24503344848123881</c:v>
                </c:pt>
                <c:pt idx="17">
                  <c:v>0.19698025206756517</c:v>
                </c:pt>
                <c:pt idx="18">
                  <c:v>0.19698025206756517</c:v>
                </c:pt>
                <c:pt idx="19">
                  <c:v>0.15840867219734472</c:v>
                </c:pt>
                <c:pt idx="20">
                  <c:v>0.13090428112572403</c:v>
                </c:pt>
                <c:pt idx="21">
                  <c:v>0.1235221676754963</c:v>
                </c:pt>
                <c:pt idx="22">
                  <c:v>0.12870071909886424</c:v>
                </c:pt>
                <c:pt idx="23">
                  <c:v>0.1080880710263772</c:v>
                </c:pt>
                <c:pt idx="24">
                  <c:v>8.7451820281016279E-2</c:v>
                </c:pt>
                <c:pt idx="25">
                  <c:v>0.1140697961813518</c:v>
                </c:pt>
                <c:pt idx="26">
                  <c:v>9.6886834187674201E-2</c:v>
                </c:pt>
                <c:pt idx="27">
                  <c:v>7.6250909973760564E-2</c:v>
                </c:pt>
                <c:pt idx="28">
                  <c:v>0.10857616649591179</c:v>
                </c:pt>
                <c:pt idx="29">
                  <c:v>0.11640952259140541</c:v>
                </c:pt>
                <c:pt idx="30">
                  <c:v>7.231190668639613E-2</c:v>
                </c:pt>
                <c:pt idx="31">
                  <c:v>9.0387654588588842E-2</c:v>
                </c:pt>
                <c:pt idx="32">
                  <c:v>7.9846173347900312E-2</c:v>
                </c:pt>
                <c:pt idx="33">
                  <c:v>0.12901005966888007</c:v>
                </c:pt>
                <c:pt idx="34">
                  <c:v>0.111226017466224</c:v>
                </c:pt>
                <c:pt idx="35">
                  <c:v>8.2093355998256956E-2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5-4054-BF64-BD012A34F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192960"/>
        <c:axId val="458198864"/>
      </c:scatterChart>
      <c:valAx>
        <c:axId val="45819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98864"/>
        <c:crosses val="autoZero"/>
        <c:crossBetween val="midCat"/>
      </c:valAx>
      <c:valAx>
        <c:axId val="4581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9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TN and TN/TP vs. year</a:t>
            </a:r>
          </a:p>
        </c:rich>
      </c:tx>
      <c:layout>
        <c:manualLayout>
          <c:xMode val="edge"/>
          <c:yMode val="edge"/>
          <c:x val="0.3050000000000000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Arresø_kanal_outflow!$K$2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8.3939632545931758E-2"/>
                  <c:y val="-0.129181612715077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Arresø_kanal_outflow!$J$3:$J$38</c:f>
              <c:numCache>
                <c:formatCode>General</c:formatCode>
                <c:ptCount val="36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</c:numCache>
            </c:numRef>
          </c:xVal>
          <c:yVal>
            <c:numRef>
              <c:f>Arresø_kanal_outflow!$K$3:$K$38</c:f>
              <c:numCache>
                <c:formatCode>General</c:formatCode>
                <c:ptCount val="36"/>
                <c:pt idx="0">
                  <c:v>5.1487762557077801</c:v>
                </c:pt>
                <c:pt idx="1">
                  <c:v>3.6973954802259912</c:v>
                </c:pt>
                <c:pt idx="2">
                  <c:v>3.7058156555773025</c:v>
                </c:pt>
                <c:pt idx="3">
                  <c:v>3.5888493150684884</c:v>
                </c:pt>
                <c:pt idx="4">
                  <c:v>3.295203522504897</c:v>
                </c:pt>
                <c:pt idx="5">
                  <c:v>3.837229703356777</c:v>
                </c:pt>
                <c:pt idx="6">
                  <c:v>3.818200587084132</c:v>
                </c:pt>
                <c:pt idx="7">
                  <c:v>4.2353170254403132</c:v>
                </c:pt>
                <c:pt idx="8">
                  <c:v>2.8883600782778798</c:v>
                </c:pt>
                <c:pt idx="9">
                  <c:v>1.8819069574551111</c:v>
                </c:pt>
                <c:pt idx="10">
                  <c:v>2.623046232876713</c:v>
                </c:pt>
                <c:pt idx="11">
                  <c:v>3.1715410958904262</c:v>
                </c:pt>
                <c:pt idx="12">
                  <c:v>2.5000797455968566</c:v>
                </c:pt>
                <c:pt idx="13">
                  <c:v>2.7498165495706322</c:v>
                </c:pt>
                <c:pt idx="14">
                  <c:v>2.1810293542074346</c:v>
                </c:pt>
                <c:pt idx="15">
                  <c:v>2.2312326157860336</c:v>
                </c:pt>
                <c:pt idx="16">
                  <c:v>2.4638397061743103</c:v>
                </c:pt>
                <c:pt idx="17">
                  <c:v>2.4631330538867862</c:v>
                </c:pt>
                <c:pt idx="18">
                  <c:v>2.4631330538867862</c:v>
                </c:pt>
                <c:pt idx="19">
                  <c:v>2.4263811524778185</c:v>
                </c:pt>
                <c:pt idx="20">
                  <c:v>2.2463326385580435</c:v>
                </c:pt>
                <c:pt idx="21">
                  <c:v>2.2339325758057109</c:v>
                </c:pt>
                <c:pt idx="22">
                  <c:v>2.4913428387044254</c:v>
                </c:pt>
                <c:pt idx="23">
                  <c:v>2.2014425341865369</c:v>
                </c:pt>
                <c:pt idx="24">
                  <c:v>1.7942603850408123</c:v>
                </c:pt>
                <c:pt idx="25">
                  <c:v>1.8355894433071822</c:v>
                </c:pt>
                <c:pt idx="26">
                  <c:v>1.8282318269777731</c:v>
                </c:pt>
                <c:pt idx="27">
                  <c:v>2.047481544770255</c:v>
                </c:pt>
                <c:pt idx="28">
                  <c:v>1.9065825344122245</c:v>
                </c:pt>
                <c:pt idx="29">
                  <c:v>2.0814652091065553</c:v>
                </c:pt>
                <c:pt idx="30">
                  <c:v>1.4112673714355202</c:v>
                </c:pt>
                <c:pt idx="31">
                  <c:v>1.8468809435823821</c:v>
                </c:pt>
                <c:pt idx="32">
                  <c:v>2.0002954730089364</c:v>
                </c:pt>
                <c:pt idx="33">
                  <c:v>2.7252322043869177</c:v>
                </c:pt>
                <c:pt idx="34">
                  <c:v>2.0563111401656102</c:v>
                </c:pt>
                <c:pt idx="35">
                  <c:v>1.9237925211616462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0-4532-9519-A3462BBEAC7B}"/>
            </c:ext>
          </c:extLst>
        </c:ser>
        <c:ser>
          <c:idx val="1"/>
          <c:order val="1"/>
          <c:tx>
            <c:strRef>
              <c:f>Arresø_kanal_outflow!$L$2</c:f>
              <c:strCache>
                <c:ptCount val="1"/>
                <c:pt idx="0">
                  <c:v>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Arresø_kanal_outflow!$J$3:$J$38</c:f>
              <c:numCache>
                <c:formatCode>General</c:formatCode>
                <c:ptCount val="36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</c:numCache>
            </c:numRef>
          </c:xVal>
          <c:yVal>
            <c:numRef>
              <c:f>Arresø_kanal_outflow!$L$3:$L$38</c:f>
              <c:numCache>
                <c:formatCode>General</c:formatCode>
                <c:ptCount val="36"/>
                <c:pt idx="0">
                  <c:v>4.5535760438339068</c:v>
                </c:pt>
                <c:pt idx="1">
                  <c:v>6.2477469736892175</c:v>
                </c:pt>
                <c:pt idx="2">
                  <c:v>6.4992531770863078</c:v>
                </c:pt>
                <c:pt idx="3">
                  <c:v>6.3970796503394229</c:v>
                </c:pt>
                <c:pt idx="4">
                  <c:v>6.8225886833735148</c:v>
                </c:pt>
                <c:pt idx="5">
                  <c:v>8.1903013363103234</c:v>
                </c:pt>
                <c:pt idx="6">
                  <c:v>7.6993824237401673</c:v>
                </c:pt>
                <c:pt idx="7">
                  <c:v>8.7288086374690952</c:v>
                </c:pt>
                <c:pt idx="8">
                  <c:v>8.986610975468647</c:v>
                </c:pt>
                <c:pt idx="9">
                  <c:v>10.077166751140354</c:v>
                </c:pt>
                <c:pt idx="10">
                  <c:v>11.615023580971448</c:v>
                </c:pt>
                <c:pt idx="11">
                  <c:v>13.433509141441434</c:v>
                </c:pt>
                <c:pt idx="12">
                  <c:v>13.201437696626597</c:v>
                </c:pt>
                <c:pt idx="13">
                  <c:v>12.053077798906861</c:v>
                </c:pt>
                <c:pt idx="14">
                  <c:v>12.744289971344076</c:v>
                </c:pt>
                <c:pt idx="15">
                  <c:v>8.895458121816235</c:v>
                </c:pt>
                <c:pt idx="16">
                  <c:v>10.055115827841586</c:v>
                </c:pt>
                <c:pt idx="17">
                  <c:v>12.50446696068761</c:v>
                </c:pt>
                <c:pt idx="18">
                  <c:v>12.50446696068761</c:v>
                </c:pt>
                <c:pt idx="19">
                  <c:v>15.317224232869304</c:v>
                </c:pt>
                <c:pt idx="20">
                  <c:v>17.160115920124912</c:v>
                </c:pt>
                <c:pt idx="21">
                  <c:v>18.085276657987819</c:v>
                </c:pt>
                <c:pt idx="22">
                  <c:v>19.357645055507785</c:v>
                </c:pt>
                <c:pt idx="23">
                  <c:v>20.367118344163156</c:v>
                </c:pt>
                <c:pt idx="24">
                  <c:v>20.517130224106992</c:v>
                </c:pt>
                <c:pt idx="25">
                  <c:v>16.091809617936928</c:v>
                </c:pt>
                <c:pt idx="26">
                  <c:v>18.869765353633134</c:v>
                </c:pt>
                <c:pt idx="27">
                  <c:v>26.851896527855654</c:v>
                </c:pt>
                <c:pt idx="28">
                  <c:v>17.559862315492719</c:v>
                </c:pt>
                <c:pt idx="29">
                  <c:v>17.880540721848394</c:v>
                </c:pt>
                <c:pt idx="30">
                  <c:v>19.516389984790965</c:v>
                </c:pt>
                <c:pt idx="31">
                  <c:v>20.432889336366795</c:v>
                </c:pt>
                <c:pt idx="32">
                  <c:v>25.05186396714825</c:v>
                </c:pt>
                <c:pt idx="33">
                  <c:v>21.124183737156276</c:v>
                </c:pt>
                <c:pt idx="34">
                  <c:v>18.487681093050469</c:v>
                </c:pt>
                <c:pt idx="35">
                  <c:v>23.434204848471456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B0-4532-9519-A3462BBEA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25672"/>
        <c:axId val="466326000"/>
      </c:scatterChart>
      <c:valAx>
        <c:axId val="46632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26000"/>
        <c:crosses val="autoZero"/>
        <c:crossBetween val="midCat"/>
      </c:valAx>
      <c:valAx>
        <c:axId val="46632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25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retention%</a:t>
            </a:r>
            <a:r>
              <a:rPr lang="en-US" baseline="0"/>
              <a:t> vs Retenstion time /year)</a:t>
            </a:r>
            <a:r>
              <a:rPr lang="en-US"/>
              <a:t>"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Arresø_kanal_outflow!$AJ$3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Arresø_kanal_outflow!$AI$4:$AI$38</c:f>
              <c:numCache>
                <c:formatCode>General</c:formatCode>
                <c:ptCount val="35"/>
                <c:pt idx="0">
                  <c:v>2.4179447620915631</c:v>
                </c:pt>
                <c:pt idx="1">
                  <c:v>4.9296378478129892</c:v>
                </c:pt>
                <c:pt idx="2">
                  <c:v>3.8161394830002613</c:v>
                </c:pt>
                <c:pt idx="3">
                  <c:v>2.4374251631848352</c:v>
                </c:pt>
                <c:pt idx="4">
                  <c:v>2.9019315719993144</c:v>
                </c:pt>
                <c:pt idx="5">
                  <c:v>3.5536876456209514</c:v>
                </c:pt>
                <c:pt idx="6">
                  <c:v>1.9197413367770766</c:v>
                </c:pt>
                <c:pt idx="7">
                  <c:v>2.1708530163736022</c:v>
                </c:pt>
                <c:pt idx="8">
                  <c:v>10.786601908287354</c:v>
                </c:pt>
                <c:pt idx="9">
                  <c:v>7.2907923595506547</c:v>
                </c:pt>
                <c:pt idx="10">
                  <c:v>2.0215726583211011</c:v>
                </c:pt>
                <c:pt idx="11">
                  <c:v>2.4252814523005646</c:v>
                </c:pt>
                <c:pt idx="12">
                  <c:v>2.5319274850826816</c:v>
                </c:pt>
                <c:pt idx="13">
                  <c:v>3.8684341067905437</c:v>
                </c:pt>
                <c:pt idx="14">
                  <c:v>1.9298865012582134</c:v>
                </c:pt>
                <c:pt idx="15">
                  <c:v>3.6632145478113767</c:v>
                </c:pt>
                <c:pt idx="16">
                  <c:v>3.049969378366475</c:v>
                </c:pt>
                <c:pt idx="17">
                  <c:v>3.049969378366475</c:v>
                </c:pt>
                <c:pt idx="18">
                  <c:v>3.2308782244060787</c:v>
                </c:pt>
                <c:pt idx="19">
                  <c:v>2.8726011232438537</c:v>
                </c:pt>
                <c:pt idx="20">
                  <c:v>1.1896478099791223</c:v>
                </c:pt>
                <c:pt idx="21">
                  <c:v>2.9241543240751637</c:v>
                </c:pt>
                <c:pt idx="22">
                  <c:v>3.008361039317617</c:v>
                </c:pt>
                <c:pt idx="23">
                  <c:v>2.1864127935078721</c:v>
                </c:pt>
                <c:pt idx="24">
                  <c:v>2.1397807176023522</c:v>
                </c:pt>
                <c:pt idx="25">
                  <c:v>2.7274794783808844</c:v>
                </c:pt>
                <c:pt idx="26">
                  <c:v>4.4108695655192891</c:v>
                </c:pt>
                <c:pt idx="27">
                  <c:v>4.7801056277864449</c:v>
                </c:pt>
                <c:pt idx="28">
                  <c:v>2.5556749121692568</c:v>
                </c:pt>
                <c:pt idx="29">
                  <c:v>2.9318928283340737</c:v>
                </c:pt>
                <c:pt idx="30">
                  <c:v>3.3576588013010915</c:v>
                </c:pt>
                <c:pt idx="31">
                  <c:v>4.129705714516704</c:v>
                </c:pt>
                <c:pt idx="32">
                  <c:v>3.3192036726007643</c:v>
                </c:pt>
                <c:pt idx="33">
                  <c:v>3.565388227751952</c:v>
                </c:pt>
                <c:pt idx="34">
                  <c:v>2.9654897408300558</c:v>
                </c:pt>
              </c:numCache>
            </c:numRef>
          </c:xVal>
          <c:yVal>
            <c:numRef>
              <c:f>Arresø_kanal_outflow!$AJ$4:$AJ$38</c:f>
              <c:numCache>
                <c:formatCode>General</c:formatCode>
                <c:ptCount val="35"/>
                <c:pt idx="0">
                  <c:v>66.649127748892965</c:v>
                </c:pt>
                <c:pt idx="1">
                  <c:v>74.048996661993129</c:v>
                </c:pt>
                <c:pt idx="2">
                  <c:v>72.574193145519999</c:v>
                </c:pt>
                <c:pt idx="3">
                  <c:v>70.276938913296448</c:v>
                </c:pt>
                <c:pt idx="4">
                  <c:v>64.964649855140394</c:v>
                </c:pt>
                <c:pt idx="5">
                  <c:v>68.72541369174624</c:v>
                </c:pt>
                <c:pt idx="6">
                  <c:v>46.982994885581405</c:v>
                </c:pt>
                <c:pt idx="7">
                  <c:v>55.886552723908821</c:v>
                </c:pt>
                <c:pt idx="8">
                  <c:v>87.494845004077447</c:v>
                </c:pt>
                <c:pt idx="9">
                  <c:v>74.652202266945849</c:v>
                </c:pt>
                <c:pt idx="10">
                  <c:v>59.889235956390309</c:v>
                </c:pt>
                <c:pt idx="11">
                  <c:v>51.025174860764757</c:v>
                </c:pt>
                <c:pt idx="12">
                  <c:v>56.69742183593408</c:v>
                </c:pt>
                <c:pt idx="13">
                  <c:v>74.202435833737795</c:v>
                </c:pt>
                <c:pt idx="14">
                  <c:v>64.248818912447874</c:v>
                </c:pt>
                <c:pt idx="15">
                  <c:v>66.097113738783179</c:v>
                </c:pt>
                <c:pt idx="16">
                  <c:v>56.477793972743044</c:v>
                </c:pt>
                <c:pt idx="18">
                  <c:v>49.727323965833918</c:v>
                </c:pt>
                <c:pt idx="19">
                  <c:v>56.72741396279897</c:v>
                </c:pt>
                <c:pt idx="20">
                  <c:v>6.8978658122000214</c:v>
                </c:pt>
                <c:pt idx="21">
                  <c:v>41.551808831639953</c:v>
                </c:pt>
                <c:pt idx="22">
                  <c:v>43.955360427329374</c:v>
                </c:pt>
                <c:pt idx="23">
                  <c:v>54.303625658086766</c:v>
                </c:pt>
                <c:pt idx="24">
                  <c:v>57.08882171580165</c:v>
                </c:pt>
                <c:pt idx="25">
                  <c:v>52.144387425925586</c:v>
                </c:pt>
                <c:pt idx="26">
                  <c:v>63.546103250914456</c:v>
                </c:pt>
                <c:pt idx="27">
                  <c:v>72.46724119075833</c:v>
                </c:pt>
                <c:pt idx="28">
                  <c:v>55.384195677561074</c:v>
                </c:pt>
                <c:pt idx="29">
                  <c:v>63.240598310236898</c:v>
                </c:pt>
                <c:pt idx="30">
                  <c:v>59.015856490063591</c:v>
                </c:pt>
                <c:pt idx="31">
                  <c:v>65.415994252867421</c:v>
                </c:pt>
                <c:pt idx="32">
                  <c:v>54.4445727850797</c:v>
                </c:pt>
                <c:pt idx="33">
                  <c:v>56.184169905980809</c:v>
                </c:pt>
                <c:pt idx="34">
                  <c:v>49.823686839428127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6-4FCC-986E-0F9AC3308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49168"/>
        <c:axId val="248748184"/>
      </c:scatterChart>
      <c:valAx>
        <c:axId val="24874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8184"/>
        <c:crosses val="autoZero"/>
        <c:crossBetween val="midCat"/>
      </c:valAx>
      <c:valAx>
        <c:axId val="24874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 til,blue og fra, orange vs year since 1979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Arresø_kanal_outflow!$AM$2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Arresø_kanal_outflow!$AL$3:$AL$38</c:f>
              <c:numCache>
                <c:formatCode>General</c:formatCode>
                <c:ptCount val="36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</c:numCache>
            </c:numRef>
          </c:xVal>
          <c:yVal>
            <c:numRef>
              <c:f>Arresø_kanal_outflow!$AM$3:$AM$38</c:f>
              <c:numCache>
                <c:formatCode>General</c:formatCode>
                <c:ptCount val="36"/>
                <c:pt idx="0">
                  <c:v>50.629812944082303</c:v>
                </c:pt>
                <c:pt idx="1">
                  <c:v>30.349237423248599</c:v>
                </c:pt>
                <c:pt idx="2">
                  <c:v>14.342571592496499</c:v>
                </c:pt>
                <c:pt idx="3">
                  <c:v>18.229338560613598</c:v>
                </c:pt>
                <c:pt idx="4">
                  <c:v>24.571034882630101</c:v>
                </c:pt>
                <c:pt idx="5">
                  <c:v>20.019463502646701</c:v>
                </c:pt>
                <c:pt idx="6">
                  <c:v>17.303951192547899</c:v>
                </c:pt>
                <c:pt idx="7">
                  <c:v>31.340788617600001</c:v>
                </c:pt>
                <c:pt idx="8">
                  <c:v>18.358900063989601</c:v>
                </c:pt>
                <c:pt idx="9">
                  <c:v>2.1468254596955898</c:v>
                </c:pt>
                <c:pt idx="10">
                  <c:v>3.84089827275616</c:v>
                </c:pt>
                <c:pt idx="11">
                  <c:v>14.4814883112986</c:v>
                </c:pt>
                <c:pt idx="12">
                  <c:v>9.6826040125968493</c:v>
                </c:pt>
                <c:pt idx="13">
                  <c:v>11.1731642603733</c:v>
                </c:pt>
                <c:pt idx="14">
                  <c:v>5.4857037189022302</c:v>
                </c:pt>
                <c:pt idx="15">
                  <c:v>16.1163409683742</c:v>
                </c:pt>
                <c:pt idx="16">
                  <c:v>8.2943947768025001</c:v>
                </c:pt>
                <c:pt idx="18">
                  <c:v>8.0084578650622706</c:v>
                </c:pt>
                <c:pt idx="19">
                  <c:v>6.9299741801969299</c:v>
                </c:pt>
                <c:pt idx="20">
                  <c:v>6.4409774131629201</c:v>
                </c:pt>
                <c:pt idx="21">
                  <c:v>14.675731147932201</c:v>
                </c:pt>
                <c:pt idx="22">
                  <c:v>6.2209102609855202</c:v>
                </c:pt>
                <c:pt idx="23">
                  <c:v>5.0783316850079299</c:v>
                </c:pt>
                <c:pt idx="24">
                  <c:v>5.6534030100235197</c:v>
                </c:pt>
                <c:pt idx="25">
                  <c:v>7.5348506424870898</c:v>
                </c:pt>
                <c:pt idx="26">
                  <c:v>5.0208416650425596</c:v>
                </c:pt>
                <c:pt idx="27">
                  <c:v>2.44339717608907</c:v>
                </c:pt>
                <c:pt idx="28">
                  <c:v>3.21048217164974</c:v>
                </c:pt>
                <c:pt idx="29">
                  <c:v>6.4380767619202004</c:v>
                </c:pt>
                <c:pt idx="30">
                  <c:v>3.4860609329901799</c:v>
                </c:pt>
                <c:pt idx="31">
                  <c:v>3.8049224315379599</c:v>
                </c:pt>
                <c:pt idx="32">
                  <c:v>2.7328025529672502</c:v>
                </c:pt>
                <c:pt idx="33">
                  <c:v>5.4936745244218601</c:v>
                </c:pt>
                <c:pt idx="34">
                  <c:v>4.4093321316173499</c:v>
                </c:pt>
                <c:pt idx="35">
                  <c:v>3.91277465142152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0-4BAE-A773-83BD362DBC49}"/>
            </c:ext>
          </c:extLst>
        </c:ser>
        <c:ser>
          <c:idx val="1"/>
          <c:order val="1"/>
          <c:tx>
            <c:strRef>
              <c:f>Arresø_kanal_outflow!$AN$2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Arresø_kanal_outflow!$AL$3:$AL$38</c:f>
              <c:numCache>
                <c:formatCode>General</c:formatCode>
                <c:ptCount val="36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</c:numCache>
            </c:numRef>
          </c:xVal>
          <c:yVal>
            <c:numRef>
              <c:f>Arresø_kanal_outflow!$AN$3:$AN$38</c:f>
              <c:numCache>
                <c:formatCode>General</c:formatCode>
                <c:ptCount val="36"/>
                <c:pt idx="2" formatCode="0.0000">
                  <c:v>27.1</c:v>
                </c:pt>
                <c:pt idx="3" formatCode="0.0000">
                  <c:v>27.8</c:v>
                </c:pt>
                <c:pt idx="4" formatCode="0.0000">
                  <c:v>23.6</c:v>
                </c:pt>
                <c:pt idx="5" formatCode="0.0000">
                  <c:v>11.6</c:v>
                </c:pt>
                <c:pt idx="6" formatCode="0.0000">
                  <c:v>10.9</c:v>
                </c:pt>
                <c:pt idx="7" formatCode="0.0000">
                  <c:v>11.2</c:v>
                </c:pt>
                <c:pt idx="8" formatCode="0.0000">
                  <c:v>8.5</c:v>
                </c:pt>
                <c:pt idx="9" formatCode="0.0000">
                  <c:v>6.5</c:v>
                </c:pt>
                <c:pt idx="10" formatCode="0.0000">
                  <c:v>6.1</c:v>
                </c:pt>
                <c:pt idx="11" formatCode="0.0000">
                  <c:v>10.5</c:v>
                </c:pt>
                <c:pt idx="12" formatCode="0.0000">
                  <c:v>10</c:v>
                </c:pt>
                <c:pt idx="13" formatCode="0.0000">
                  <c:v>8.9</c:v>
                </c:pt>
                <c:pt idx="14" formatCode="0.0000">
                  <c:v>6.7</c:v>
                </c:pt>
                <c:pt idx="15" formatCode="0.0000">
                  <c:v>12.5</c:v>
                </c:pt>
                <c:pt idx="16" formatCode="0.0000">
                  <c:v>8.1</c:v>
                </c:pt>
                <c:pt idx="18" formatCode="0.0000">
                  <c:v>10</c:v>
                </c:pt>
                <c:pt idx="19" formatCode="0.0000">
                  <c:v>8.6387102289881597</c:v>
                </c:pt>
                <c:pt idx="20" formatCode="0.0000">
                  <c:v>7.7798534468338802</c:v>
                </c:pt>
                <c:pt idx="21" formatCode="0.0000">
                  <c:v>11.834526012364099</c:v>
                </c:pt>
                <c:pt idx="22" formatCode="0.0000">
                  <c:v>8.8692774054637198</c:v>
                </c:pt>
                <c:pt idx="23" formatCode="0.0000">
                  <c:v>7.5288323507997301</c:v>
                </c:pt>
                <c:pt idx="24" formatCode="0.0000">
                  <c:v>10.088851390876201</c:v>
                </c:pt>
                <c:pt idx="25" formatCode="0.0000">
                  <c:v>12.5785036363748</c:v>
                </c:pt>
                <c:pt idx="26" formatCode="0.0000">
                  <c:v>7.7529485616172504</c:v>
                </c:pt>
                <c:pt idx="27" formatCode="0.0000">
                  <c:v>6.8422684932933402</c:v>
                </c:pt>
                <c:pt idx="28" formatCode="0.0000">
                  <c:v>6.8316321683294499</c:v>
                </c:pt>
                <c:pt idx="29" formatCode="0.0000">
                  <c:v>9.2672479742180602</c:v>
                </c:pt>
                <c:pt idx="30" formatCode="0.0000">
                  <c:v>6.6823425204107201</c:v>
                </c:pt>
                <c:pt idx="31" formatCode="0.0000">
                  <c:v>8.0157416171842399</c:v>
                </c:pt>
                <c:pt idx="32" formatCode="0.0000">
                  <c:v>8.02981999780277</c:v>
                </c:pt>
                <c:pt idx="33" formatCode="0.0000">
                  <c:v>11.2385632190576</c:v>
                </c:pt>
                <c:pt idx="34" formatCode="0.0000">
                  <c:v>7.1781620990815602</c:v>
                </c:pt>
                <c:pt idx="35" formatCode="0.0000">
                  <c:v>6.7457338952066301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0-4BAE-A773-83BD362D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25352"/>
        <c:axId val="523126992"/>
      </c:scatterChart>
      <c:valAx>
        <c:axId val="52312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26992"/>
        <c:crosses val="autoZero"/>
        <c:crossBetween val="midCat"/>
      </c:valAx>
      <c:valAx>
        <c:axId val="5231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25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 til(ornage</a:t>
            </a:r>
            <a:r>
              <a:rPr lang="en-US" baseline="0"/>
              <a:t> and fra Arresø vs year since 1976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Arresø_kanal_outflow!$AM$2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Arresø_kanal_outflow!$AL$3:$AL$39</c:f>
              <c:numCache>
                <c:formatCode>General</c:formatCode>
                <c:ptCount val="37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  <c:pt idx="36">
                  <c:v>1</c:v>
                </c:pt>
              </c:numCache>
            </c:numRef>
          </c:xVal>
          <c:yVal>
            <c:numRef>
              <c:f>Arresø_kanal_outflow!$AM$3:$AM$39</c:f>
              <c:numCache>
                <c:formatCode>General</c:formatCode>
                <c:ptCount val="37"/>
                <c:pt idx="0">
                  <c:v>50.629812944082303</c:v>
                </c:pt>
                <c:pt idx="1">
                  <c:v>30.349237423248599</c:v>
                </c:pt>
                <c:pt idx="2">
                  <c:v>14.342571592496499</c:v>
                </c:pt>
                <c:pt idx="3">
                  <c:v>18.229338560613598</c:v>
                </c:pt>
                <c:pt idx="4">
                  <c:v>24.571034882630101</c:v>
                </c:pt>
                <c:pt idx="5">
                  <c:v>20.019463502646701</c:v>
                </c:pt>
                <c:pt idx="6">
                  <c:v>17.303951192547899</c:v>
                </c:pt>
                <c:pt idx="7">
                  <c:v>31.340788617600001</c:v>
                </c:pt>
                <c:pt idx="8">
                  <c:v>18.358900063989601</c:v>
                </c:pt>
                <c:pt idx="9">
                  <c:v>2.1468254596955898</c:v>
                </c:pt>
                <c:pt idx="10">
                  <c:v>3.84089827275616</c:v>
                </c:pt>
                <c:pt idx="11">
                  <c:v>14.4814883112986</c:v>
                </c:pt>
                <c:pt idx="12">
                  <c:v>9.6826040125968493</c:v>
                </c:pt>
                <c:pt idx="13">
                  <c:v>11.1731642603733</c:v>
                </c:pt>
                <c:pt idx="14">
                  <c:v>5.4857037189022302</c:v>
                </c:pt>
                <c:pt idx="15">
                  <c:v>16.1163409683742</c:v>
                </c:pt>
                <c:pt idx="16">
                  <c:v>8.2943947768025001</c:v>
                </c:pt>
                <c:pt idx="18">
                  <c:v>8.0084578650622706</c:v>
                </c:pt>
                <c:pt idx="19">
                  <c:v>6.9299741801969299</c:v>
                </c:pt>
                <c:pt idx="20">
                  <c:v>6.4409774131629201</c:v>
                </c:pt>
                <c:pt idx="21">
                  <c:v>14.675731147932201</c:v>
                </c:pt>
                <c:pt idx="22">
                  <c:v>6.2209102609855202</c:v>
                </c:pt>
                <c:pt idx="23">
                  <c:v>5.0783316850079299</c:v>
                </c:pt>
                <c:pt idx="24">
                  <c:v>5.6534030100235197</c:v>
                </c:pt>
                <c:pt idx="25">
                  <c:v>7.5348506424870898</c:v>
                </c:pt>
                <c:pt idx="26">
                  <c:v>5.0208416650425596</c:v>
                </c:pt>
                <c:pt idx="27">
                  <c:v>2.44339717608907</c:v>
                </c:pt>
                <c:pt idx="28">
                  <c:v>3.21048217164974</c:v>
                </c:pt>
                <c:pt idx="29">
                  <c:v>6.4380767619202004</c:v>
                </c:pt>
                <c:pt idx="30">
                  <c:v>3.4860609329901799</c:v>
                </c:pt>
                <c:pt idx="31">
                  <c:v>3.8049224315379599</c:v>
                </c:pt>
                <c:pt idx="32">
                  <c:v>2.7328025529672502</c:v>
                </c:pt>
                <c:pt idx="33">
                  <c:v>5.4936745244218601</c:v>
                </c:pt>
                <c:pt idx="34">
                  <c:v>4.4093321316173499</c:v>
                </c:pt>
                <c:pt idx="35">
                  <c:v>3.91277465142152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9-4960-9C87-8DB2F731CCAF}"/>
            </c:ext>
          </c:extLst>
        </c:ser>
        <c:ser>
          <c:idx val="1"/>
          <c:order val="1"/>
          <c:tx>
            <c:strRef>
              <c:f>Arresø_kanal_outflow!$AN$2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Arresø_kanal_outflow!$AL$3:$AL$39</c:f>
              <c:numCache>
                <c:formatCode>General</c:formatCode>
                <c:ptCount val="37"/>
                <c:pt idx="0">
                  <c:v>4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41</c:v>
                </c:pt>
                <c:pt idx="34">
                  <c:v>43</c:v>
                </c:pt>
                <c:pt idx="35">
                  <c:v>44</c:v>
                </c:pt>
                <c:pt idx="36">
                  <c:v>1</c:v>
                </c:pt>
              </c:numCache>
            </c:numRef>
          </c:xVal>
          <c:yVal>
            <c:numRef>
              <c:f>Arresø_kanal_outflow!$AN$3:$AN$39</c:f>
              <c:numCache>
                <c:formatCode>General</c:formatCode>
                <c:ptCount val="37"/>
                <c:pt idx="2" formatCode="0.0000">
                  <c:v>27.1</c:v>
                </c:pt>
                <c:pt idx="3" formatCode="0.0000">
                  <c:v>27.8</c:v>
                </c:pt>
                <c:pt idx="4" formatCode="0.0000">
                  <c:v>23.6</c:v>
                </c:pt>
                <c:pt idx="5" formatCode="0.0000">
                  <c:v>11.6</c:v>
                </c:pt>
                <c:pt idx="6" formatCode="0.0000">
                  <c:v>10.9</c:v>
                </c:pt>
                <c:pt idx="7" formatCode="0.0000">
                  <c:v>11.2</c:v>
                </c:pt>
                <c:pt idx="8" formatCode="0.0000">
                  <c:v>8.5</c:v>
                </c:pt>
                <c:pt idx="9" formatCode="0.0000">
                  <c:v>6.5</c:v>
                </c:pt>
                <c:pt idx="10" formatCode="0.0000">
                  <c:v>6.1</c:v>
                </c:pt>
                <c:pt idx="11" formatCode="0.0000">
                  <c:v>10.5</c:v>
                </c:pt>
                <c:pt idx="12" formatCode="0.0000">
                  <c:v>10</c:v>
                </c:pt>
                <c:pt idx="13" formatCode="0.0000">
                  <c:v>8.9</c:v>
                </c:pt>
                <c:pt idx="14" formatCode="0.0000">
                  <c:v>6.7</c:v>
                </c:pt>
                <c:pt idx="15" formatCode="0.0000">
                  <c:v>12.5</c:v>
                </c:pt>
                <c:pt idx="16" formatCode="0.0000">
                  <c:v>8.1</c:v>
                </c:pt>
                <c:pt idx="18" formatCode="0.0000">
                  <c:v>10</c:v>
                </c:pt>
                <c:pt idx="19" formatCode="0.0000">
                  <c:v>8.6387102289881597</c:v>
                </c:pt>
                <c:pt idx="20" formatCode="0.0000">
                  <c:v>7.7798534468338802</c:v>
                </c:pt>
                <c:pt idx="21" formatCode="0.0000">
                  <c:v>11.834526012364099</c:v>
                </c:pt>
                <c:pt idx="22" formatCode="0.0000">
                  <c:v>8.8692774054637198</c:v>
                </c:pt>
                <c:pt idx="23" formatCode="0.0000">
                  <c:v>7.5288323507997301</c:v>
                </c:pt>
                <c:pt idx="24" formatCode="0.0000">
                  <c:v>10.088851390876201</c:v>
                </c:pt>
                <c:pt idx="25" formatCode="0.0000">
                  <c:v>12.5785036363748</c:v>
                </c:pt>
                <c:pt idx="26" formatCode="0.0000">
                  <c:v>7.7529485616172504</c:v>
                </c:pt>
                <c:pt idx="27" formatCode="0.0000">
                  <c:v>6.8422684932933402</c:v>
                </c:pt>
                <c:pt idx="28" formatCode="0.0000">
                  <c:v>6.8316321683294499</c:v>
                </c:pt>
                <c:pt idx="29" formatCode="0.0000">
                  <c:v>9.2672479742180602</c:v>
                </c:pt>
                <c:pt idx="30" formatCode="0.0000">
                  <c:v>6.6823425204107201</c:v>
                </c:pt>
                <c:pt idx="31" formatCode="0.0000">
                  <c:v>8.0157416171842399</c:v>
                </c:pt>
                <c:pt idx="32" formatCode="0.0000">
                  <c:v>8.02981999780277</c:v>
                </c:pt>
                <c:pt idx="33" formatCode="0.0000">
                  <c:v>11.2385632190576</c:v>
                </c:pt>
                <c:pt idx="34" formatCode="0.0000">
                  <c:v>7.1781620990815602</c:v>
                </c:pt>
                <c:pt idx="35" formatCode="0.0000">
                  <c:v>6.7457338952066301</c:v>
                </c:pt>
                <c:pt idx="36" formatCode="0.0000">
                  <c:v>84.48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9-4960-9C87-8DB2F731C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445176"/>
        <c:axId val="506446160"/>
      </c:scatterChart>
      <c:valAx>
        <c:axId val="50644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46160"/>
        <c:crosses val="autoZero"/>
        <c:crossBetween val="midCat"/>
      </c:valAx>
      <c:valAx>
        <c:axId val="5064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4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847725</xdr:colOff>
      <xdr:row>39</xdr:row>
      <xdr:rowOff>9525</xdr:rowOff>
    </xdr:from>
    <xdr:to>
      <xdr:col>16</xdr:col>
      <xdr:colOff>847725</xdr:colOff>
      <xdr:row>52</xdr:row>
      <xdr:rowOff>193675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244475</xdr:colOff>
      <xdr:row>39</xdr:row>
      <xdr:rowOff>104775</xdr:rowOff>
    </xdr:from>
    <xdr:to>
      <xdr:col>22</xdr:col>
      <xdr:colOff>244475</xdr:colOff>
      <xdr:row>53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174625</xdr:colOff>
      <xdr:row>41</xdr:row>
      <xdr:rowOff>98425</xdr:rowOff>
    </xdr:from>
    <xdr:to>
      <xdr:col>36</xdr:col>
      <xdr:colOff>174625</xdr:colOff>
      <xdr:row>55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85724</xdr:colOff>
      <xdr:row>41</xdr:row>
      <xdr:rowOff>168274</xdr:rowOff>
    </xdr:from>
    <xdr:to>
      <xdr:col>42</xdr:col>
      <xdr:colOff>546099</xdr:colOff>
      <xdr:row>63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85724</xdr:colOff>
      <xdr:row>41</xdr:row>
      <xdr:rowOff>111124</xdr:rowOff>
    </xdr:from>
    <xdr:to>
      <xdr:col>42</xdr:col>
      <xdr:colOff>565149</xdr:colOff>
      <xdr:row>63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9"/>
  <sheetViews>
    <sheetView tabSelected="1" topLeftCell="AD2" workbookViewId="0">
      <selection activeCell="AK5" sqref="AK5"/>
    </sheetView>
  </sheetViews>
  <sheetFormatPr baseColWidth="10" defaultColWidth="11" defaultRowHeight="16" x14ac:dyDescent="0.2"/>
  <cols>
    <col min="1" max="1" width="5.1640625" bestFit="1" customWidth="1"/>
    <col min="2" max="2" width="18.83203125" bestFit="1" customWidth="1"/>
    <col min="3" max="3" width="22" bestFit="1" customWidth="1"/>
    <col min="4" max="4" width="21.83203125" bestFit="1" customWidth="1"/>
    <col min="5" max="5" width="9.1640625" bestFit="1" customWidth="1"/>
    <col min="6" max="6" width="12.6640625" bestFit="1" customWidth="1"/>
    <col min="7" max="7" width="12.33203125" bestFit="1" customWidth="1"/>
    <col min="12" max="12" width="11.83203125" bestFit="1" customWidth="1"/>
    <col min="25" max="25" width="12.83203125" bestFit="1" customWidth="1"/>
    <col min="27" max="27" width="12.1640625" bestFit="1" customWidth="1"/>
    <col min="31" max="31" width="12.1640625" bestFit="1" customWidth="1"/>
  </cols>
  <sheetData>
    <row r="1" spans="1:40" x14ac:dyDescent="0.2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9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O1" t="s">
        <v>12</v>
      </c>
      <c r="P1" t="s">
        <v>13</v>
      </c>
      <c r="Q1" t="s">
        <v>14</v>
      </c>
      <c r="R1" t="s">
        <v>15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42</v>
      </c>
      <c r="Y1" t="s">
        <v>43</v>
      </c>
      <c r="Z1" t="s">
        <v>44</v>
      </c>
      <c r="AA1" t="s">
        <v>47</v>
      </c>
      <c r="AB1" t="s">
        <v>49</v>
      </c>
      <c r="AD1" t="s">
        <v>54</v>
      </c>
      <c r="AF1" t="s">
        <v>55</v>
      </c>
      <c r="AG1" t="s">
        <v>55</v>
      </c>
      <c r="AH1" t="s">
        <v>57</v>
      </c>
      <c r="AI1" t="s">
        <v>63</v>
      </c>
      <c r="AJ1" t="s">
        <v>57</v>
      </c>
      <c r="AK1" t="s">
        <v>61</v>
      </c>
      <c r="AL1" t="s">
        <v>67</v>
      </c>
      <c r="AM1" t="s">
        <v>65</v>
      </c>
      <c r="AN1" t="s">
        <v>66</v>
      </c>
    </row>
    <row r="2" spans="1:40" x14ac:dyDescent="0.2">
      <c r="B2" t="s">
        <v>5</v>
      </c>
      <c r="C2" t="s">
        <v>10</v>
      </c>
      <c r="D2" t="s">
        <v>11</v>
      </c>
      <c r="F2" t="s">
        <v>10</v>
      </c>
      <c r="G2" t="s">
        <v>11</v>
      </c>
      <c r="H2" t="s">
        <v>51</v>
      </c>
      <c r="I2" t="s">
        <v>52</v>
      </c>
      <c r="J2" t="s">
        <v>51</v>
      </c>
      <c r="K2" t="s">
        <v>52</v>
      </c>
      <c r="L2" t="s">
        <v>53</v>
      </c>
      <c r="N2" t="s">
        <v>17</v>
      </c>
      <c r="U2" t="s">
        <v>21</v>
      </c>
      <c r="V2" t="s">
        <v>20</v>
      </c>
      <c r="W2" t="s">
        <v>41</v>
      </c>
      <c r="X2" t="s">
        <v>41</v>
      </c>
      <c r="Y2" t="s">
        <v>45</v>
      </c>
      <c r="Z2" t="s">
        <v>46</v>
      </c>
      <c r="AA2" t="s">
        <v>48</v>
      </c>
      <c r="AB2" t="s">
        <v>50</v>
      </c>
      <c r="AD2" t="s">
        <v>21</v>
      </c>
      <c r="AE2" t="s">
        <v>50</v>
      </c>
      <c r="AF2" t="s">
        <v>21</v>
      </c>
      <c r="AG2" t="s">
        <v>56</v>
      </c>
      <c r="AH2" t="s">
        <v>58</v>
      </c>
      <c r="AI2" t="s">
        <v>64</v>
      </c>
      <c r="AJ2" t="s">
        <v>58</v>
      </c>
      <c r="AK2" t="s">
        <v>62</v>
      </c>
      <c r="AL2" t="s">
        <v>51</v>
      </c>
      <c r="AM2" t="s">
        <v>52</v>
      </c>
      <c r="AN2" t="s">
        <v>52</v>
      </c>
    </row>
    <row r="3" spans="1:40" x14ac:dyDescent="0.2">
      <c r="A3">
        <v>1979</v>
      </c>
      <c r="B3" s="1">
        <v>122676685.150684</v>
      </c>
      <c r="C3" s="2">
        <v>230.54670332596501</v>
      </c>
      <c r="D3" s="2">
        <v>50.629812944082303</v>
      </c>
      <c r="E3" s="1"/>
      <c r="F3" s="1"/>
      <c r="G3" s="1"/>
      <c r="H3">
        <v>4</v>
      </c>
      <c r="I3">
        <f>D3*1000000000/(B3*365)</f>
        <v>1.1307105022831114</v>
      </c>
      <c r="J3">
        <v>4</v>
      </c>
      <c r="K3">
        <f>I3*C3/D3</f>
        <v>5.1487762557077801</v>
      </c>
      <c r="L3">
        <f>C3/D3</f>
        <v>4.5535760438339068</v>
      </c>
      <c r="AI3" t="s">
        <v>51</v>
      </c>
      <c r="AJ3" t="s">
        <v>52</v>
      </c>
      <c r="AL3">
        <v>4</v>
      </c>
      <c r="AM3">
        <v>50.629812944082303</v>
      </c>
    </row>
    <row r="4" spans="1:40" x14ac:dyDescent="0.2">
      <c r="A4">
        <v>1988</v>
      </c>
      <c r="B4" s="1">
        <v>140501980.32786801</v>
      </c>
      <c r="C4" s="2">
        <v>189.61435626487699</v>
      </c>
      <c r="D4" s="2">
        <v>30.349237423248599</v>
      </c>
      <c r="E4" s="1"/>
      <c r="F4" s="1"/>
      <c r="G4" s="1"/>
      <c r="H4">
        <v>12</v>
      </c>
      <c r="I4">
        <f t="shared" ref="I4:I21" si="0">D4*1000000000/(B4*365)</f>
        <v>0.59179661016949359</v>
      </c>
      <c r="J4">
        <v>12</v>
      </c>
      <c r="K4">
        <f t="shared" ref="K4:K6" si="1">I4*C4/D4</f>
        <v>3.6973954802259912</v>
      </c>
      <c r="L4">
        <f t="shared" ref="L4:L38" si="2">C4/D4</f>
        <v>6.2477469736892175</v>
      </c>
      <c r="S4">
        <v>568.54</v>
      </c>
      <c r="AC4">
        <v>9</v>
      </c>
      <c r="AD4">
        <f>AD7*B4/B7</f>
        <v>568.54391944301551</v>
      </c>
      <c r="AE4">
        <f>AD4*1000000000/(365*B4)</f>
        <v>11.086353161582636</v>
      </c>
      <c r="AF4" s="2">
        <f>AD4-C4</f>
        <v>378.92956317813855</v>
      </c>
      <c r="AG4">
        <f>AF4*1000000/(40*1000000)</f>
        <v>9.4732390794534638</v>
      </c>
      <c r="AH4">
        <f>(AF4/AD4)*100</f>
        <v>66.649127748892965</v>
      </c>
      <c r="AI4">
        <f t="shared" ref="AI4:AI38" si="3">1/AK4</f>
        <v>2.4179447620915631</v>
      </c>
      <c r="AJ4">
        <v>66.649127748892965</v>
      </c>
      <c r="AK4">
        <f>(B4*365/(1000*40000000*3.1))</f>
        <v>0.41357437757799859</v>
      </c>
      <c r="AL4">
        <v>12</v>
      </c>
      <c r="AM4">
        <v>30.349237423248599</v>
      </c>
    </row>
    <row r="5" spans="1:40" x14ac:dyDescent="0.2">
      <c r="A5">
        <v>1989</v>
      </c>
      <c r="B5" s="1">
        <v>68915007.123287603</v>
      </c>
      <c r="C5" s="2">
        <v>93.216003990120697</v>
      </c>
      <c r="D5" s="2">
        <v>14.342571592496499</v>
      </c>
      <c r="E5" s="1" t="s">
        <v>3</v>
      </c>
      <c r="F5" s="2">
        <v>359.2</v>
      </c>
      <c r="G5" s="2">
        <v>27.1</v>
      </c>
      <c r="H5">
        <v>13</v>
      </c>
      <c r="I5">
        <f t="shared" si="0"/>
        <v>0.57019099804304962</v>
      </c>
      <c r="J5">
        <v>13</v>
      </c>
      <c r="K5">
        <f t="shared" si="1"/>
        <v>3.7058156555773025</v>
      </c>
      <c r="L5">
        <f t="shared" si="2"/>
        <v>6.4992531770863078</v>
      </c>
      <c r="P5">
        <f>I5*G5/D5</f>
        <v>1.0773644006107419</v>
      </c>
      <c r="S5" s="2">
        <v>359.2</v>
      </c>
      <c r="T5" s="2">
        <v>27.1</v>
      </c>
      <c r="U5" s="2">
        <f>S5-C5</f>
        <v>265.98399600987932</v>
      </c>
      <c r="V5" s="2">
        <f>T5-D5</f>
        <v>12.757428407503502</v>
      </c>
      <c r="W5">
        <f>U5/S5*100</f>
        <v>74.048996661993129</v>
      </c>
      <c r="X5">
        <f>V5/T5*100</f>
        <v>47.075381577503691</v>
      </c>
      <c r="Y5">
        <f>V5/40</f>
        <v>0.31893571018758754</v>
      </c>
      <c r="Z5">
        <f>U5/40</f>
        <v>6.649599900246983</v>
      </c>
      <c r="AA5">
        <f>T5*1000000000/(365*B5)</f>
        <v>1.0773644006107419</v>
      </c>
      <c r="AB5">
        <f>S5*1000000000/(365*B5)</f>
        <v>14.280047701084078</v>
      </c>
      <c r="AC5">
        <v>10</v>
      </c>
      <c r="AD5" s="2">
        <v>359.2</v>
      </c>
      <c r="AE5">
        <f t="shared" ref="AE5:AE38" si="4">AD5*1000000000/(365*B5)</f>
        <v>14.280047701084078</v>
      </c>
      <c r="AF5" s="2">
        <f t="shared" ref="AF5:AF38" si="5">AD5-C5</f>
        <v>265.98399600987932</v>
      </c>
      <c r="AG5">
        <f t="shared" ref="AG5:AG38" si="6">AF5*1000000/(40*1000000)</f>
        <v>6.649599900246983</v>
      </c>
      <c r="AH5">
        <f t="shared" ref="AH5:AH38" si="7">(AF5/AD5)*100</f>
        <v>74.048996661993129</v>
      </c>
      <c r="AI5">
        <f t="shared" si="3"/>
        <v>4.9296378478129892</v>
      </c>
      <c r="AJ5">
        <v>74.048996661993129</v>
      </c>
      <c r="AK5">
        <f>(B5*365/(1000*40000000*3.1))</f>
        <v>0.20285465806451591</v>
      </c>
      <c r="AL5">
        <v>13</v>
      </c>
      <c r="AM5">
        <v>14.342571592496499</v>
      </c>
      <c r="AN5" s="2">
        <v>27.1</v>
      </c>
    </row>
    <row r="6" spans="1:40" x14ac:dyDescent="0.2">
      <c r="A6">
        <v>1990</v>
      </c>
      <c r="B6" s="1">
        <v>89023482.739725903</v>
      </c>
      <c r="C6" s="2">
        <v>116.614530745249</v>
      </c>
      <c r="D6" s="2">
        <v>18.229338560613598</v>
      </c>
      <c r="E6" s="1" t="s">
        <v>3</v>
      </c>
      <c r="F6" s="2">
        <v>425.2</v>
      </c>
      <c r="G6" s="2">
        <v>27.8</v>
      </c>
      <c r="H6">
        <v>14</v>
      </c>
      <c r="I6">
        <f t="shared" si="0"/>
        <v>0.56101369863013473</v>
      </c>
      <c r="J6">
        <v>14</v>
      </c>
      <c r="K6">
        <f t="shared" si="1"/>
        <v>3.5888493150684884</v>
      </c>
      <c r="L6">
        <f t="shared" si="2"/>
        <v>6.3970796503394229</v>
      </c>
      <c r="P6">
        <f t="shared" ref="P6:P38" si="8">I6*G6/D6</f>
        <v>0.85555385183392962</v>
      </c>
      <c r="S6" s="2">
        <v>425.2</v>
      </c>
      <c r="T6" s="2">
        <v>27.8</v>
      </c>
      <c r="U6" s="2">
        <f t="shared" ref="U6:U38" si="9">S6-C6</f>
        <v>308.58546925475099</v>
      </c>
      <c r="V6" s="2">
        <f t="shared" ref="V6:V38" si="10">T6-D6</f>
        <v>9.5706614393864022</v>
      </c>
      <c r="W6">
        <f t="shared" ref="W6:W38" si="11">U6/S6*100</f>
        <v>72.574193145519999</v>
      </c>
      <c r="X6">
        <f t="shared" ref="X6:X38" si="12">V6/T6*100</f>
        <v>34.426839710023025</v>
      </c>
      <c r="Y6">
        <f t="shared" ref="Y6:Y38" si="13">V6/40</f>
        <v>0.23926653598466005</v>
      </c>
      <c r="Z6">
        <f t="shared" ref="Z6:Z38" si="14">U6/40</f>
        <v>7.7146367313687749</v>
      </c>
      <c r="AA6">
        <f>T6*1000000000/(365*B6)</f>
        <v>0.85555385183392951</v>
      </c>
      <c r="AB6">
        <f t="shared" ref="AB6:AB38" si="15">S6*1000000000/(365*B6)</f>
        <v>13.085665388481541</v>
      </c>
      <c r="AC6">
        <v>11</v>
      </c>
      <c r="AD6" s="2">
        <v>425.2</v>
      </c>
      <c r="AE6">
        <f t="shared" si="4"/>
        <v>13.085665388481541</v>
      </c>
      <c r="AF6" s="2">
        <f t="shared" si="5"/>
        <v>308.58546925475099</v>
      </c>
      <c r="AG6">
        <f t="shared" si="6"/>
        <v>7.714636731368774</v>
      </c>
      <c r="AH6">
        <f t="shared" si="7"/>
        <v>72.574193145519999</v>
      </c>
      <c r="AI6">
        <f t="shared" si="3"/>
        <v>3.8161394830002613</v>
      </c>
      <c r="AJ6">
        <v>72.574193145519999</v>
      </c>
      <c r="AK6">
        <f t="shared" ref="AK4:AK38" si="16">(B6*365/(1000*40000000*3.1))</f>
        <v>0.26204492903225768</v>
      </c>
      <c r="AL6">
        <v>14</v>
      </c>
      <c r="AM6">
        <v>18.229338560613598</v>
      </c>
      <c r="AN6" s="2">
        <v>27.8</v>
      </c>
    </row>
    <row r="7" spans="1:40" x14ac:dyDescent="0.2">
      <c r="A7">
        <v>1991</v>
      </c>
      <c r="B7" s="1">
        <v>139379059.72602701</v>
      </c>
      <c r="C7" s="2">
        <v>167.63806452900801</v>
      </c>
      <c r="D7" s="2">
        <v>24.571034882630101</v>
      </c>
      <c r="E7" s="1" t="s">
        <v>3</v>
      </c>
      <c r="F7" s="2">
        <v>564</v>
      </c>
      <c r="G7" s="2">
        <v>23.6</v>
      </c>
      <c r="H7">
        <v>15</v>
      </c>
      <c r="I7">
        <f t="shared" si="0"/>
        <v>0.48298434442270116</v>
      </c>
      <c r="J7">
        <v>15</v>
      </c>
      <c r="K7">
        <f t="shared" ref="K7:K21" si="17">I7*C7/D7</f>
        <v>3.295203522504897</v>
      </c>
      <c r="L7">
        <f t="shared" si="2"/>
        <v>6.8225886833735148</v>
      </c>
      <c r="P7">
        <f t="shared" si="8"/>
        <v>0.46389704718679114</v>
      </c>
      <c r="S7" s="2">
        <v>564</v>
      </c>
      <c r="T7" s="2">
        <v>23.6</v>
      </c>
      <c r="U7" s="2">
        <f t="shared" si="9"/>
        <v>396.36193547099197</v>
      </c>
      <c r="V7" s="2">
        <f t="shared" si="10"/>
        <v>-0.97103488263010007</v>
      </c>
      <c r="W7">
        <f t="shared" si="11"/>
        <v>70.276938913296448</v>
      </c>
      <c r="X7">
        <f t="shared" si="12"/>
        <v>-4.1145545874156779</v>
      </c>
      <c r="Y7">
        <f t="shared" si="13"/>
        <v>-2.4275872065752501E-2</v>
      </c>
      <c r="Z7">
        <f t="shared" si="14"/>
        <v>9.9090483867747992</v>
      </c>
      <c r="AA7">
        <f t="shared" ref="AA6:AA38" si="18">T7*1000000000/(365*B7)</f>
        <v>0.4638970471867912</v>
      </c>
      <c r="AB7">
        <f t="shared" si="15"/>
        <v>11.086353161582636</v>
      </c>
      <c r="AC7">
        <v>12</v>
      </c>
      <c r="AD7" s="2">
        <v>564</v>
      </c>
      <c r="AE7">
        <f t="shared" si="4"/>
        <v>11.086353161582636</v>
      </c>
      <c r="AF7" s="2">
        <f t="shared" si="5"/>
        <v>396.36193547099197</v>
      </c>
      <c r="AG7">
        <f t="shared" si="6"/>
        <v>9.9090483867747992</v>
      </c>
      <c r="AH7">
        <f t="shared" si="7"/>
        <v>70.276938913296448</v>
      </c>
      <c r="AI7">
        <f t="shared" si="3"/>
        <v>2.4374251631848352</v>
      </c>
      <c r="AJ7">
        <v>70.276938913296448</v>
      </c>
      <c r="AK7">
        <f t="shared" si="16"/>
        <v>0.4102690064516118</v>
      </c>
      <c r="AL7">
        <v>15</v>
      </c>
      <c r="AM7">
        <v>24.571034882630101</v>
      </c>
      <c r="AN7" s="2">
        <v>23.6</v>
      </c>
    </row>
    <row r="8" spans="1:40" x14ac:dyDescent="0.2">
      <c r="A8">
        <v>1992</v>
      </c>
      <c r="B8" s="1">
        <v>117068931.14754</v>
      </c>
      <c r="C8" s="2">
        <v>163.96543867794301</v>
      </c>
      <c r="D8" s="2">
        <v>20.019463502646701</v>
      </c>
      <c r="E8" s="1" t="s">
        <v>3</v>
      </c>
      <c r="F8" s="2">
        <v>468</v>
      </c>
      <c r="G8" s="2">
        <v>11.6</v>
      </c>
      <c r="H8">
        <v>16</v>
      </c>
      <c r="I8">
        <f t="shared" si="0"/>
        <v>0.46850897736143904</v>
      </c>
      <c r="J8">
        <v>16</v>
      </c>
      <c r="K8">
        <f t="shared" si="17"/>
        <v>3.837229703356777</v>
      </c>
      <c r="L8">
        <f t="shared" si="2"/>
        <v>8.1903013363103234</v>
      </c>
      <c r="P8">
        <f t="shared" si="8"/>
        <v>0.27147101802574231</v>
      </c>
      <c r="S8" s="2">
        <v>468</v>
      </c>
      <c r="T8" s="2">
        <v>11.6</v>
      </c>
      <c r="U8" s="2">
        <f t="shared" si="9"/>
        <v>304.03456132205702</v>
      </c>
      <c r="V8" s="2">
        <f t="shared" si="10"/>
        <v>-8.4194635026467015</v>
      </c>
      <c r="W8">
        <f t="shared" si="11"/>
        <v>64.964649855140394</v>
      </c>
      <c r="X8">
        <f t="shared" si="12"/>
        <v>-72.581581919368119</v>
      </c>
      <c r="Y8">
        <f t="shared" si="13"/>
        <v>-0.21048658756616753</v>
      </c>
      <c r="Z8">
        <f t="shared" si="14"/>
        <v>7.6008640330514252</v>
      </c>
      <c r="AA8">
        <f t="shared" si="18"/>
        <v>0.27147101802574231</v>
      </c>
      <c r="AB8">
        <f t="shared" si="15"/>
        <v>10.952451416900638</v>
      </c>
      <c r="AC8">
        <v>13</v>
      </c>
      <c r="AD8" s="2">
        <v>468</v>
      </c>
      <c r="AE8">
        <f t="shared" si="4"/>
        <v>10.952451416900638</v>
      </c>
      <c r="AF8" s="2">
        <f t="shared" si="5"/>
        <v>304.03456132205702</v>
      </c>
      <c r="AG8">
        <f t="shared" si="6"/>
        <v>7.6008640330514252</v>
      </c>
      <c r="AH8">
        <f t="shared" si="7"/>
        <v>64.964649855140394</v>
      </c>
      <c r="AI8">
        <f t="shared" si="3"/>
        <v>2.9019315719993144</v>
      </c>
      <c r="AJ8">
        <v>64.964649855140394</v>
      </c>
      <c r="AK8">
        <f t="shared" si="16"/>
        <v>0.3445980634584847</v>
      </c>
      <c r="AL8">
        <v>16</v>
      </c>
      <c r="AM8">
        <v>20.019463502646701</v>
      </c>
      <c r="AN8" s="2">
        <v>11.6</v>
      </c>
    </row>
    <row r="9" spans="1:40" x14ac:dyDescent="0.2">
      <c r="A9">
        <v>1993</v>
      </c>
      <c r="B9" s="1">
        <v>95598167.671232805</v>
      </c>
      <c r="C9" s="2">
        <v>133.229737673161</v>
      </c>
      <c r="D9" s="2">
        <v>17.303951192547899</v>
      </c>
      <c r="E9" s="1" t="s">
        <v>3</v>
      </c>
      <c r="F9" s="2">
        <v>426</v>
      </c>
      <c r="G9" s="2">
        <v>10.9</v>
      </c>
      <c r="H9">
        <v>17</v>
      </c>
      <c r="I9">
        <f t="shared" si="0"/>
        <v>0.49590998043052731</v>
      </c>
      <c r="J9">
        <v>17</v>
      </c>
      <c r="K9">
        <f t="shared" si="17"/>
        <v>3.818200587084132</v>
      </c>
      <c r="L9">
        <f t="shared" si="2"/>
        <v>7.6993824237401673</v>
      </c>
      <c r="P9">
        <f t="shared" si="8"/>
        <v>0.3123806075586158</v>
      </c>
      <c r="S9" s="2">
        <v>426</v>
      </c>
      <c r="T9" s="2">
        <v>10.9</v>
      </c>
      <c r="U9" s="2">
        <f t="shared" si="9"/>
        <v>292.77026232683897</v>
      </c>
      <c r="V9" s="2">
        <f t="shared" si="10"/>
        <v>-6.4039511925478987</v>
      </c>
      <c r="W9">
        <f t="shared" si="11"/>
        <v>68.72541369174624</v>
      </c>
      <c r="X9">
        <f t="shared" si="12"/>
        <v>-58.751845803191728</v>
      </c>
      <c r="Y9">
        <f t="shared" si="13"/>
        <v>-0.16009877981369747</v>
      </c>
      <c r="Z9">
        <f t="shared" si="14"/>
        <v>7.3192565581709745</v>
      </c>
      <c r="AA9">
        <f t="shared" si="18"/>
        <v>0.31238060755861585</v>
      </c>
      <c r="AB9">
        <f t="shared" si="15"/>
        <v>12.208636588988107</v>
      </c>
      <c r="AC9">
        <v>14</v>
      </c>
      <c r="AD9" s="2">
        <v>426</v>
      </c>
      <c r="AE9">
        <f t="shared" si="4"/>
        <v>12.208636588988107</v>
      </c>
      <c r="AF9" s="2">
        <f t="shared" si="5"/>
        <v>292.77026232683897</v>
      </c>
      <c r="AG9">
        <f t="shared" si="6"/>
        <v>7.3192565581709745</v>
      </c>
      <c r="AH9">
        <f t="shared" si="7"/>
        <v>68.72541369174624</v>
      </c>
      <c r="AI9">
        <f t="shared" si="3"/>
        <v>3.5536876456209514</v>
      </c>
      <c r="AJ9">
        <v>68.72541369174624</v>
      </c>
      <c r="AK9">
        <f t="shared" si="16"/>
        <v>0.28139783225806431</v>
      </c>
      <c r="AL9">
        <v>17</v>
      </c>
      <c r="AM9">
        <v>17.303951192547899</v>
      </c>
      <c r="AN9" s="2">
        <v>10.9</v>
      </c>
    </row>
    <row r="10" spans="1:40" x14ac:dyDescent="0.2">
      <c r="A10">
        <v>1994</v>
      </c>
      <c r="B10" s="1">
        <v>176964480</v>
      </c>
      <c r="C10" s="2">
        <v>273.56774639039998</v>
      </c>
      <c r="D10" s="2">
        <v>31.340788617600001</v>
      </c>
      <c r="E10" s="1" t="s">
        <v>3</v>
      </c>
      <c r="F10" s="2">
        <v>516</v>
      </c>
      <c r="G10" s="2">
        <v>11.2</v>
      </c>
      <c r="H10">
        <v>18</v>
      </c>
      <c r="I10">
        <f t="shared" si="0"/>
        <v>0.48521135029354212</v>
      </c>
      <c r="J10">
        <v>18</v>
      </c>
      <c r="K10">
        <f t="shared" si="17"/>
        <v>4.2353170254403132</v>
      </c>
      <c r="L10">
        <f t="shared" si="2"/>
        <v>8.7288086374690952</v>
      </c>
      <c r="P10">
        <f t="shared" si="8"/>
        <v>0.17339599170889727</v>
      </c>
      <c r="S10" s="2">
        <v>516</v>
      </c>
      <c r="T10" s="2">
        <v>11.2</v>
      </c>
      <c r="U10" s="2">
        <f t="shared" si="9"/>
        <v>242.43225360960002</v>
      </c>
      <c r="V10" s="2">
        <f t="shared" si="10"/>
        <v>-20.140788617600002</v>
      </c>
      <c r="W10">
        <f t="shared" si="11"/>
        <v>46.982994885581405</v>
      </c>
      <c r="X10">
        <f t="shared" si="12"/>
        <v>-179.82846980000002</v>
      </c>
      <c r="Y10">
        <f t="shared" si="13"/>
        <v>-0.50351971544000007</v>
      </c>
      <c r="Z10">
        <f t="shared" si="14"/>
        <v>6.060806340240001</v>
      </c>
      <c r="AA10">
        <f t="shared" si="18"/>
        <v>0.17339599170889727</v>
      </c>
      <c r="AB10">
        <f t="shared" si="15"/>
        <v>7.9886010465884807</v>
      </c>
      <c r="AC10">
        <v>15</v>
      </c>
      <c r="AD10" s="2">
        <v>516</v>
      </c>
      <c r="AE10">
        <f t="shared" si="4"/>
        <v>7.9886010465884807</v>
      </c>
      <c r="AF10" s="2">
        <f t="shared" si="5"/>
        <v>242.43225360960002</v>
      </c>
      <c r="AG10">
        <f t="shared" si="6"/>
        <v>6.060806340240001</v>
      </c>
      <c r="AH10">
        <f t="shared" si="7"/>
        <v>46.982994885581405</v>
      </c>
      <c r="AI10">
        <f t="shared" si="3"/>
        <v>1.9197413367770766</v>
      </c>
      <c r="AJ10">
        <v>46.982994885581405</v>
      </c>
      <c r="AK10">
        <f t="shared" si="16"/>
        <v>0.52090350967741939</v>
      </c>
      <c r="AL10">
        <v>18</v>
      </c>
      <c r="AM10">
        <v>31.340788617600001</v>
      </c>
      <c r="AN10" s="2">
        <v>11.2</v>
      </c>
    </row>
    <row r="11" spans="1:40" x14ac:dyDescent="0.2">
      <c r="A11">
        <v>1995</v>
      </c>
      <c r="B11" s="1">
        <v>156494255.86849299</v>
      </c>
      <c r="C11" s="2">
        <v>164.984292812581</v>
      </c>
      <c r="D11" s="2">
        <v>18.358900063989601</v>
      </c>
      <c r="E11" s="1" t="s">
        <v>3</v>
      </c>
      <c r="F11" s="2">
        <v>374</v>
      </c>
      <c r="G11" s="2">
        <v>8.5</v>
      </c>
      <c r="H11">
        <v>19</v>
      </c>
      <c r="I11">
        <f t="shared" si="0"/>
        <v>0.32140704500978501</v>
      </c>
      <c r="J11">
        <v>19</v>
      </c>
      <c r="K11">
        <f t="shared" si="17"/>
        <v>2.8883600782778798</v>
      </c>
      <c r="L11">
        <f t="shared" si="2"/>
        <v>8.986610975468647</v>
      </c>
      <c r="P11">
        <f t="shared" si="8"/>
        <v>0.14880847289657756</v>
      </c>
      <c r="S11" s="2">
        <v>374</v>
      </c>
      <c r="T11" s="2">
        <v>8.5</v>
      </c>
      <c r="U11" s="2">
        <f t="shared" si="9"/>
        <v>209.015707187419</v>
      </c>
      <c r="V11" s="2">
        <f t="shared" si="10"/>
        <v>-9.8589000639896014</v>
      </c>
      <c r="W11">
        <f t="shared" si="11"/>
        <v>55.886552723908821</v>
      </c>
      <c r="X11">
        <f t="shared" si="12"/>
        <v>-115.98705957634824</v>
      </c>
      <c r="Y11">
        <f t="shared" si="13"/>
        <v>-0.24647250159974005</v>
      </c>
      <c r="Z11">
        <f t="shared" si="14"/>
        <v>5.2253926796854753</v>
      </c>
      <c r="AA11">
        <f t="shared" si="18"/>
        <v>0.14880847289657756</v>
      </c>
      <c r="AB11">
        <f t="shared" si="15"/>
        <v>6.5475728074494128</v>
      </c>
      <c r="AC11">
        <v>16</v>
      </c>
      <c r="AD11" s="2">
        <v>374</v>
      </c>
      <c r="AE11">
        <f t="shared" si="4"/>
        <v>6.5475728074494128</v>
      </c>
      <c r="AF11" s="2">
        <f t="shared" si="5"/>
        <v>209.015707187419</v>
      </c>
      <c r="AG11">
        <f t="shared" si="6"/>
        <v>5.2253926796854753</v>
      </c>
      <c r="AH11">
        <f t="shared" si="7"/>
        <v>55.886552723908821</v>
      </c>
      <c r="AI11">
        <f t="shared" si="3"/>
        <v>2.1708530163736022</v>
      </c>
      <c r="AJ11">
        <v>55.886552723908821</v>
      </c>
      <c r="AK11">
        <f t="shared" si="16"/>
        <v>0.46064841445161242</v>
      </c>
      <c r="AL11">
        <v>19</v>
      </c>
      <c r="AM11">
        <v>18.358900063989601</v>
      </c>
      <c r="AN11" s="2">
        <v>8.5</v>
      </c>
    </row>
    <row r="12" spans="1:40" x14ac:dyDescent="0.2">
      <c r="A12">
        <v>1996</v>
      </c>
      <c r="B12" s="1">
        <v>31495185.4426229</v>
      </c>
      <c r="C12" s="2">
        <v>21.633918142946001</v>
      </c>
      <c r="D12" s="2">
        <v>2.1468254596955898</v>
      </c>
      <c r="E12" s="1" t="s">
        <v>3</v>
      </c>
      <c r="F12" s="2">
        <v>173</v>
      </c>
      <c r="G12" s="2">
        <v>6.5</v>
      </c>
      <c r="H12">
        <v>20</v>
      </c>
      <c r="I12">
        <f t="shared" si="0"/>
        <v>0.18674960967993812</v>
      </c>
      <c r="J12">
        <v>20</v>
      </c>
      <c r="K12">
        <f t="shared" si="17"/>
        <v>1.8819069574551111</v>
      </c>
      <c r="L12">
        <f t="shared" si="2"/>
        <v>10.077166751140354</v>
      </c>
      <c r="P12">
        <f t="shared" si="8"/>
        <v>0.56542671293441782</v>
      </c>
      <c r="S12" s="2">
        <v>173</v>
      </c>
      <c r="T12" s="2">
        <v>6.5</v>
      </c>
      <c r="U12" s="2">
        <f t="shared" si="9"/>
        <v>151.36608185705398</v>
      </c>
      <c r="V12" s="2">
        <f t="shared" si="10"/>
        <v>4.3531745403044102</v>
      </c>
      <c r="W12">
        <f t="shared" si="11"/>
        <v>87.494845004077447</v>
      </c>
      <c r="X12">
        <f t="shared" si="12"/>
        <v>66.971916004683223</v>
      </c>
      <c r="Y12">
        <f t="shared" si="13"/>
        <v>0.10882936350761026</v>
      </c>
      <c r="Z12">
        <f t="shared" si="14"/>
        <v>3.7841520464263496</v>
      </c>
      <c r="AA12">
        <f t="shared" si="18"/>
        <v>0.56542671293441782</v>
      </c>
      <c r="AB12">
        <f t="shared" si="15"/>
        <v>15.049049436562196</v>
      </c>
      <c r="AC12">
        <v>17</v>
      </c>
      <c r="AD12" s="2">
        <v>173</v>
      </c>
      <c r="AE12">
        <f t="shared" si="4"/>
        <v>15.049049436562196</v>
      </c>
      <c r="AF12" s="2">
        <f t="shared" si="5"/>
        <v>151.36608185705398</v>
      </c>
      <c r="AG12">
        <f t="shared" si="6"/>
        <v>3.7841520464263501</v>
      </c>
      <c r="AH12">
        <f t="shared" si="7"/>
        <v>87.494845004077447</v>
      </c>
      <c r="AI12">
        <f t="shared" si="3"/>
        <v>10.786601908287354</v>
      </c>
      <c r="AJ12">
        <v>87.494845004077447</v>
      </c>
      <c r="AK12">
        <f t="shared" si="16"/>
        <v>9.2707602310946435E-2</v>
      </c>
      <c r="AL12">
        <v>20</v>
      </c>
      <c r="AM12">
        <v>2.1468254596955898</v>
      </c>
      <c r="AN12" s="2">
        <v>6.5</v>
      </c>
    </row>
    <row r="13" spans="1:40" x14ac:dyDescent="0.2">
      <c r="A13">
        <v>1997</v>
      </c>
      <c r="B13" s="1">
        <v>46596585.205479398</v>
      </c>
      <c r="C13" s="2">
        <v>44.6121240101753</v>
      </c>
      <c r="D13" s="2">
        <v>3.84089827275616</v>
      </c>
      <c r="E13" s="1" t="s">
        <v>3</v>
      </c>
      <c r="F13" s="2">
        <v>176</v>
      </c>
      <c r="G13" s="2">
        <v>6.1</v>
      </c>
      <c r="H13">
        <v>21</v>
      </c>
      <c r="I13">
        <f t="shared" si="0"/>
        <v>0.22583219178082192</v>
      </c>
      <c r="J13">
        <v>21</v>
      </c>
      <c r="K13">
        <f t="shared" si="17"/>
        <v>2.623046232876713</v>
      </c>
      <c r="L13">
        <f t="shared" si="2"/>
        <v>11.615023580971448</v>
      </c>
      <c r="P13">
        <f t="shared" si="8"/>
        <v>0.35865994671983059</v>
      </c>
      <c r="S13" s="2">
        <v>176</v>
      </c>
      <c r="T13" s="2">
        <v>6.1</v>
      </c>
      <c r="U13" s="2">
        <f t="shared" si="9"/>
        <v>131.38787598982469</v>
      </c>
      <c r="V13" s="2">
        <f t="shared" si="10"/>
        <v>2.2591017272438396</v>
      </c>
      <c r="W13">
        <f t="shared" si="11"/>
        <v>74.652202266945849</v>
      </c>
      <c r="X13">
        <f t="shared" si="12"/>
        <v>37.034454544980974</v>
      </c>
      <c r="Y13">
        <f t="shared" si="13"/>
        <v>5.647754318109599E-2</v>
      </c>
      <c r="Z13">
        <f t="shared" si="14"/>
        <v>3.2846968997456174</v>
      </c>
      <c r="AA13">
        <f t="shared" si="18"/>
        <v>0.35865994671983059</v>
      </c>
      <c r="AB13">
        <f t="shared" si="15"/>
        <v>10.348221413555768</v>
      </c>
      <c r="AC13">
        <v>18</v>
      </c>
      <c r="AD13" s="2">
        <v>176</v>
      </c>
      <c r="AE13">
        <f t="shared" si="4"/>
        <v>10.348221413555768</v>
      </c>
      <c r="AF13" s="2">
        <f t="shared" si="5"/>
        <v>131.38787598982469</v>
      </c>
      <c r="AG13">
        <f t="shared" si="6"/>
        <v>3.2846968997456174</v>
      </c>
      <c r="AH13">
        <f t="shared" si="7"/>
        <v>74.652202266945849</v>
      </c>
      <c r="AI13">
        <f t="shared" si="3"/>
        <v>7.2907923595506547</v>
      </c>
      <c r="AJ13">
        <v>74.652202266945849</v>
      </c>
      <c r="AK13">
        <f t="shared" si="16"/>
        <v>0.1371593032258063</v>
      </c>
      <c r="AL13">
        <v>21</v>
      </c>
      <c r="AM13">
        <v>3.84089827275616</v>
      </c>
      <c r="AN13" s="2">
        <v>6.1</v>
      </c>
    </row>
    <row r="14" spans="1:40" x14ac:dyDescent="0.2">
      <c r="A14">
        <v>1998</v>
      </c>
      <c r="B14" s="1">
        <v>168050367.12328699</v>
      </c>
      <c r="C14" s="2">
        <v>194.53720561150701</v>
      </c>
      <c r="D14" s="2">
        <v>14.4814883112986</v>
      </c>
      <c r="E14" s="1" t="s">
        <v>3</v>
      </c>
      <c r="F14" s="2">
        <v>485</v>
      </c>
      <c r="G14" s="2">
        <v>10.5</v>
      </c>
      <c r="H14">
        <v>22</v>
      </c>
      <c r="I14">
        <f t="shared" si="0"/>
        <v>0.23609178082191826</v>
      </c>
      <c r="J14">
        <v>22</v>
      </c>
      <c r="K14">
        <f t="shared" si="17"/>
        <v>3.1715410958904262</v>
      </c>
      <c r="L14">
        <f t="shared" si="2"/>
        <v>13.433509141441434</v>
      </c>
      <c r="P14">
        <f t="shared" si="8"/>
        <v>0.17118155574493193</v>
      </c>
      <c r="S14" s="2">
        <v>485</v>
      </c>
      <c r="T14" s="2">
        <v>10.5</v>
      </c>
      <c r="U14" s="2">
        <f t="shared" si="9"/>
        <v>290.46279438849297</v>
      </c>
      <c r="V14" s="2">
        <f t="shared" si="10"/>
        <v>-3.9814883112985999</v>
      </c>
      <c r="W14">
        <f t="shared" si="11"/>
        <v>59.889235956390309</v>
      </c>
      <c r="X14">
        <f t="shared" si="12"/>
        <v>-37.91893629808191</v>
      </c>
      <c r="Y14">
        <f t="shared" si="13"/>
        <v>-9.9537207782464998E-2</v>
      </c>
      <c r="Z14">
        <f t="shared" si="14"/>
        <v>7.2615698597123242</v>
      </c>
      <c r="AA14">
        <f t="shared" si="18"/>
        <v>0.17118155574493193</v>
      </c>
      <c r="AB14">
        <f t="shared" si="15"/>
        <v>7.9069575748849514</v>
      </c>
      <c r="AC14">
        <v>19</v>
      </c>
      <c r="AD14" s="2">
        <v>485</v>
      </c>
      <c r="AE14">
        <f t="shared" si="4"/>
        <v>7.9069575748849514</v>
      </c>
      <c r="AF14" s="2">
        <f t="shared" si="5"/>
        <v>290.46279438849297</v>
      </c>
      <c r="AG14">
        <f t="shared" si="6"/>
        <v>7.2615698597123233</v>
      </c>
      <c r="AH14">
        <f t="shared" si="7"/>
        <v>59.889235956390309</v>
      </c>
      <c r="AI14">
        <f t="shared" si="3"/>
        <v>2.0215726583211011</v>
      </c>
      <c r="AJ14">
        <v>59.889235956390309</v>
      </c>
      <c r="AK14">
        <f t="shared" si="16"/>
        <v>0.49466438709677224</v>
      </c>
      <c r="AL14">
        <v>22</v>
      </c>
      <c r="AM14">
        <v>14.4814883112986</v>
      </c>
      <c r="AN14" s="2">
        <v>10.5</v>
      </c>
    </row>
    <row r="15" spans="1:40" x14ac:dyDescent="0.2">
      <c r="A15">
        <v>1999</v>
      </c>
      <c r="B15" s="1">
        <v>140076949.45054901</v>
      </c>
      <c r="C15" s="2">
        <v>127.824293613404</v>
      </c>
      <c r="D15" s="2">
        <v>9.6826040125968493</v>
      </c>
      <c r="E15" s="1" t="s">
        <v>3</v>
      </c>
      <c r="F15" s="2">
        <v>261</v>
      </c>
      <c r="G15" s="2">
        <v>10</v>
      </c>
      <c r="H15">
        <v>23</v>
      </c>
      <c r="I15">
        <f t="shared" si="0"/>
        <v>0.18937935420743679</v>
      </c>
      <c r="J15">
        <v>23</v>
      </c>
      <c r="K15">
        <f t="shared" si="17"/>
        <v>2.5000797455968566</v>
      </c>
      <c r="L15">
        <f t="shared" si="2"/>
        <v>13.201437696626597</v>
      </c>
      <c r="P15">
        <f t="shared" si="8"/>
        <v>0.19558721389520684</v>
      </c>
      <c r="S15" s="2">
        <v>261</v>
      </c>
      <c r="T15" s="2">
        <v>10</v>
      </c>
      <c r="U15" s="2">
        <f t="shared" si="9"/>
        <v>133.175706386596</v>
      </c>
      <c r="V15" s="2">
        <f t="shared" si="10"/>
        <v>0.31739598740315067</v>
      </c>
      <c r="W15">
        <f t="shared" si="11"/>
        <v>51.025174860764757</v>
      </c>
      <c r="X15">
        <f t="shared" si="12"/>
        <v>3.1739598740315067</v>
      </c>
      <c r="Y15">
        <f t="shared" si="13"/>
        <v>7.9348996850787668E-3</v>
      </c>
      <c r="Z15">
        <f t="shared" si="14"/>
        <v>3.3293926596648999</v>
      </c>
      <c r="AA15">
        <f t="shared" si="18"/>
        <v>0.19558721389520684</v>
      </c>
      <c r="AB15">
        <f t="shared" si="15"/>
        <v>5.1048262826648987</v>
      </c>
      <c r="AC15">
        <v>20</v>
      </c>
      <c r="AD15" s="2">
        <v>261</v>
      </c>
      <c r="AE15">
        <f t="shared" si="4"/>
        <v>5.1048262826648987</v>
      </c>
      <c r="AF15" s="2">
        <f t="shared" si="5"/>
        <v>133.175706386596</v>
      </c>
      <c r="AG15">
        <f t="shared" si="6"/>
        <v>3.3293926596649004</v>
      </c>
      <c r="AH15">
        <f t="shared" si="7"/>
        <v>51.025174860764757</v>
      </c>
      <c r="AI15">
        <f t="shared" si="3"/>
        <v>2.4252814523005646</v>
      </c>
      <c r="AJ15">
        <v>51.025174860764757</v>
      </c>
      <c r="AK15">
        <f t="shared" si="16"/>
        <v>0.41232327862459989</v>
      </c>
      <c r="AL15">
        <v>23</v>
      </c>
      <c r="AM15">
        <v>9.6826040125968493</v>
      </c>
      <c r="AN15" s="2">
        <v>10</v>
      </c>
    </row>
    <row r="16" spans="1:40" x14ac:dyDescent="0.2">
      <c r="A16">
        <v>2000</v>
      </c>
      <c r="B16" s="1">
        <v>134176839.344262</v>
      </c>
      <c r="C16" s="2">
        <v>134.67101809024501</v>
      </c>
      <c r="D16" s="2">
        <v>11.1731642603733</v>
      </c>
      <c r="E16" s="1" t="s">
        <v>3</v>
      </c>
      <c r="F16" s="2">
        <v>311</v>
      </c>
      <c r="G16" s="2">
        <v>8.9</v>
      </c>
      <c r="H16">
        <v>24</v>
      </c>
      <c r="I16">
        <f t="shared" si="0"/>
        <v>0.22814227166276346</v>
      </c>
      <c r="J16">
        <v>24</v>
      </c>
      <c r="K16">
        <f t="shared" si="17"/>
        <v>2.7498165495706322</v>
      </c>
      <c r="L16">
        <f t="shared" si="2"/>
        <v>12.053077798906861</v>
      </c>
      <c r="P16">
        <f t="shared" si="8"/>
        <v>0.18172705336480538</v>
      </c>
      <c r="S16" s="2">
        <v>311</v>
      </c>
      <c r="T16" s="2">
        <v>8.9</v>
      </c>
      <c r="U16" s="2">
        <f t="shared" si="9"/>
        <v>176.32898190975499</v>
      </c>
      <c r="V16" s="2">
        <f t="shared" si="10"/>
        <v>-2.2731642603732993</v>
      </c>
      <c r="W16">
        <f t="shared" si="11"/>
        <v>56.69742183593408</v>
      </c>
      <c r="X16">
        <f>V16/T16*100</f>
        <v>-25.54117146486853</v>
      </c>
      <c r="Y16">
        <f t="shared" si="13"/>
        <v>-5.6829106509332483E-2</v>
      </c>
      <c r="Z16">
        <f t="shared" si="14"/>
        <v>4.4082245477438748</v>
      </c>
      <c r="AA16">
        <f t="shared" si="18"/>
        <v>0.18172705336480535</v>
      </c>
      <c r="AB16">
        <f t="shared" si="15"/>
        <v>6.3502374827476924</v>
      </c>
      <c r="AC16">
        <v>21</v>
      </c>
      <c r="AD16" s="2">
        <v>311</v>
      </c>
      <c r="AE16">
        <f t="shared" si="4"/>
        <v>6.3502374827476924</v>
      </c>
      <c r="AF16" s="2">
        <f t="shared" si="5"/>
        <v>176.32898190975499</v>
      </c>
      <c r="AG16">
        <f t="shared" si="6"/>
        <v>4.4082245477438748</v>
      </c>
      <c r="AH16">
        <f t="shared" si="7"/>
        <v>56.69742183593408</v>
      </c>
      <c r="AI16">
        <f t="shared" si="3"/>
        <v>2.5319274850826816</v>
      </c>
      <c r="AJ16">
        <v>56.69742183593408</v>
      </c>
      <c r="AK16">
        <f t="shared" si="16"/>
        <v>0.3949560190375454</v>
      </c>
      <c r="AL16">
        <v>24</v>
      </c>
      <c r="AM16">
        <v>11.1731642603733</v>
      </c>
      <c r="AN16" s="2">
        <v>8.9</v>
      </c>
    </row>
    <row r="17" spans="1:40" x14ac:dyDescent="0.2">
      <c r="A17">
        <v>2001</v>
      </c>
      <c r="B17" s="1">
        <v>87820037.260273993</v>
      </c>
      <c r="C17" s="2">
        <v>69.911398890570595</v>
      </c>
      <c r="D17" s="2">
        <v>5.4857037189022302</v>
      </c>
      <c r="E17" s="1" t="s">
        <v>3</v>
      </c>
      <c r="F17" s="2">
        <v>271</v>
      </c>
      <c r="G17" s="2">
        <v>6.7</v>
      </c>
      <c r="H17">
        <v>25</v>
      </c>
      <c r="I17">
        <f t="shared" si="0"/>
        <v>0.17113776908023479</v>
      </c>
      <c r="J17">
        <v>25</v>
      </c>
      <c r="K17">
        <f t="shared" si="17"/>
        <v>2.1810293542074346</v>
      </c>
      <c r="L17">
        <f t="shared" si="2"/>
        <v>12.744289971344076</v>
      </c>
      <c r="P17">
        <f t="shared" si="8"/>
        <v>0.20902022996368264</v>
      </c>
      <c r="S17" s="2">
        <v>271</v>
      </c>
      <c r="T17" s="2">
        <v>6.7</v>
      </c>
      <c r="U17" s="2">
        <f t="shared" si="9"/>
        <v>201.08860110942942</v>
      </c>
      <c r="V17" s="2">
        <f t="shared" si="10"/>
        <v>1.21429628109777</v>
      </c>
      <c r="W17">
        <f t="shared" si="11"/>
        <v>74.202435833737795</v>
      </c>
      <c r="X17">
        <f t="shared" si="12"/>
        <v>18.12382509101149</v>
      </c>
      <c r="Y17">
        <f t="shared" si="13"/>
        <v>3.0357407027444251E-2</v>
      </c>
      <c r="Z17">
        <f t="shared" si="14"/>
        <v>5.0272150277357355</v>
      </c>
      <c r="AA17">
        <f t="shared" si="18"/>
        <v>0.20902022996368258</v>
      </c>
      <c r="AB17">
        <f t="shared" si="15"/>
        <v>8.4544003462922355</v>
      </c>
      <c r="AC17">
        <v>22</v>
      </c>
      <c r="AD17" s="2">
        <v>271</v>
      </c>
      <c r="AE17">
        <f t="shared" si="4"/>
        <v>8.4544003462922355</v>
      </c>
      <c r="AF17" s="2">
        <f t="shared" si="5"/>
        <v>201.08860110942942</v>
      </c>
      <c r="AG17">
        <f t="shared" si="6"/>
        <v>5.0272150277357355</v>
      </c>
      <c r="AH17">
        <f t="shared" si="7"/>
        <v>74.202435833737795</v>
      </c>
      <c r="AI17">
        <f t="shared" si="3"/>
        <v>3.8684341067905437</v>
      </c>
      <c r="AJ17">
        <v>74.202435833737795</v>
      </c>
      <c r="AK17">
        <f t="shared" si="16"/>
        <v>0.25850252903225812</v>
      </c>
      <c r="AL17">
        <v>25</v>
      </c>
      <c r="AM17">
        <v>5.4857037189022302</v>
      </c>
      <c r="AN17" s="2">
        <v>6.7</v>
      </c>
    </row>
    <row r="18" spans="1:40" x14ac:dyDescent="0.2">
      <c r="A18">
        <v>2002</v>
      </c>
      <c r="B18" s="1">
        <v>176034200.54794499</v>
      </c>
      <c r="C18" s="2">
        <v>143.36223616108401</v>
      </c>
      <c r="D18" s="2">
        <v>16.1163409683742</v>
      </c>
      <c r="E18" s="1" t="s">
        <v>3</v>
      </c>
      <c r="F18" s="2">
        <v>401</v>
      </c>
      <c r="G18" s="2">
        <v>12.5</v>
      </c>
      <c r="H18">
        <v>26</v>
      </c>
      <c r="I18">
        <f t="shared" si="0"/>
        <v>0.25082829745596846</v>
      </c>
      <c r="J18">
        <v>26</v>
      </c>
      <c r="K18">
        <f t="shared" si="17"/>
        <v>2.2312326157860336</v>
      </c>
      <c r="L18">
        <f t="shared" si="2"/>
        <v>8.895458121816235</v>
      </c>
      <c r="P18">
        <f t="shared" si="8"/>
        <v>0.19454501020748119</v>
      </c>
      <c r="S18" s="2">
        <v>401</v>
      </c>
      <c r="T18" s="2">
        <v>12.5</v>
      </c>
      <c r="U18" s="2">
        <f t="shared" si="9"/>
        <v>257.63776383891599</v>
      </c>
      <c r="V18" s="2">
        <f t="shared" si="10"/>
        <v>-3.6163409683741996</v>
      </c>
      <c r="W18">
        <f t="shared" si="11"/>
        <v>64.248818912447874</v>
      </c>
      <c r="X18">
        <f t="shared" si="12"/>
        <v>-28.930727746993597</v>
      </c>
      <c r="Y18">
        <f t="shared" si="13"/>
        <v>-9.0408524209354996E-2</v>
      </c>
      <c r="Z18">
        <f t="shared" si="14"/>
        <v>6.4409440959728999</v>
      </c>
      <c r="AA18">
        <f t="shared" si="18"/>
        <v>0.19454501020748122</v>
      </c>
      <c r="AB18">
        <f t="shared" si="15"/>
        <v>6.2410039274559974</v>
      </c>
      <c r="AC18">
        <v>23</v>
      </c>
      <c r="AD18" s="2">
        <v>401</v>
      </c>
      <c r="AE18">
        <f t="shared" si="4"/>
        <v>6.2410039274559974</v>
      </c>
      <c r="AF18" s="2">
        <f t="shared" si="5"/>
        <v>257.63776383891599</v>
      </c>
      <c r="AG18">
        <f t="shared" si="6"/>
        <v>6.440944095972899</v>
      </c>
      <c r="AH18">
        <f t="shared" si="7"/>
        <v>64.248818912447874</v>
      </c>
      <c r="AI18">
        <f t="shared" si="3"/>
        <v>1.9298865012582134</v>
      </c>
      <c r="AJ18">
        <v>64.248818912447874</v>
      </c>
      <c r="AK18">
        <f t="shared" si="16"/>
        <v>0.51816518709677362</v>
      </c>
      <c r="AL18">
        <v>26</v>
      </c>
      <c r="AM18">
        <v>16.1163409683742</v>
      </c>
      <c r="AN18" s="2">
        <v>12.5</v>
      </c>
    </row>
    <row r="19" spans="1:40" x14ac:dyDescent="0.2">
      <c r="A19">
        <v>2003</v>
      </c>
      <c r="B19" s="1">
        <v>92739866.301369905</v>
      </c>
      <c r="C19" s="2">
        <v>83.401100202593398</v>
      </c>
      <c r="D19" s="2">
        <v>8.2943947768025001</v>
      </c>
      <c r="E19" s="1" t="s">
        <v>3</v>
      </c>
      <c r="F19" s="2">
        <v>246</v>
      </c>
      <c r="G19" s="2">
        <v>8.1</v>
      </c>
      <c r="H19">
        <v>27</v>
      </c>
      <c r="I19">
        <f t="shared" si="0"/>
        <v>0.24503344848123881</v>
      </c>
      <c r="J19">
        <v>27</v>
      </c>
      <c r="K19">
        <f t="shared" si="17"/>
        <v>2.4638397061743103</v>
      </c>
      <c r="L19">
        <f t="shared" si="2"/>
        <v>10.055115827841586</v>
      </c>
      <c r="P19">
        <f t="shared" si="8"/>
        <v>0.23929062771993667</v>
      </c>
      <c r="S19" s="2">
        <v>246</v>
      </c>
      <c r="T19" s="2">
        <v>8.1</v>
      </c>
      <c r="U19" s="2">
        <f t="shared" si="9"/>
        <v>162.5988997974066</v>
      </c>
      <c r="V19" s="2">
        <f t="shared" si="10"/>
        <v>-0.1943947768025005</v>
      </c>
      <c r="W19">
        <f t="shared" si="11"/>
        <v>66.097113738783179</v>
      </c>
      <c r="X19">
        <f t="shared" si="12"/>
        <v>-2.3999355160802529</v>
      </c>
      <c r="Y19">
        <f t="shared" si="13"/>
        <v>-4.8598694200625127E-3</v>
      </c>
      <c r="Z19">
        <f t="shared" si="14"/>
        <v>4.0649724949351649</v>
      </c>
      <c r="AA19">
        <f t="shared" si="18"/>
        <v>0.2392906277199367</v>
      </c>
      <c r="AB19">
        <f t="shared" si="15"/>
        <v>7.2673449900128926</v>
      </c>
      <c r="AC19">
        <v>24</v>
      </c>
      <c r="AD19" s="2">
        <v>246</v>
      </c>
      <c r="AE19">
        <f t="shared" si="4"/>
        <v>7.2673449900128926</v>
      </c>
      <c r="AF19" s="2">
        <f t="shared" si="5"/>
        <v>162.5988997974066</v>
      </c>
      <c r="AG19">
        <f t="shared" si="6"/>
        <v>4.0649724949351658</v>
      </c>
      <c r="AH19">
        <f t="shared" si="7"/>
        <v>66.097113738783179</v>
      </c>
      <c r="AI19">
        <f t="shared" si="3"/>
        <v>3.6632145478113767</v>
      </c>
      <c r="AJ19">
        <v>66.097113738783179</v>
      </c>
      <c r="AK19">
        <f t="shared" si="16"/>
        <v>0.27298428387096785</v>
      </c>
      <c r="AL19">
        <v>27</v>
      </c>
      <c r="AM19">
        <v>8.2943947768025001</v>
      </c>
      <c r="AN19" s="2">
        <v>8.1</v>
      </c>
    </row>
    <row r="20" spans="1:40" x14ac:dyDescent="0.2">
      <c r="A20">
        <v>2004</v>
      </c>
      <c r="B20" s="1">
        <v>111386701.062295</v>
      </c>
      <c r="C20" s="2">
        <v>100.14149677973001</v>
      </c>
      <c r="D20" s="2">
        <v>8.0084578650622706</v>
      </c>
      <c r="E20" s="1" t="s">
        <v>4</v>
      </c>
      <c r="F20" s="2">
        <v>365.91159203298002</v>
      </c>
      <c r="G20" s="2"/>
      <c r="I20">
        <f t="shared" si="0"/>
        <v>0.19698025206756517</v>
      </c>
      <c r="K20">
        <f t="shared" si="17"/>
        <v>2.4631330538867862</v>
      </c>
      <c r="L20">
        <f t="shared" si="2"/>
        <v>12.50446696068761</v>
      </c>
      <c r="P20">
        <f t="shared" si="8"/>
        <v>0</v>
      </c>
      <c r="S20">
        <f>1.44/2.29*F20</f>
        <v>230.09287883296557</v>
      </c>
      <c r="T20" s="2">
        <v>8.0084999999999997</v>
      </c>
      <c r="U20" s="2">
        <f t="shared" si="9"/>
        <v>129.95138205323556</v>
      </c>
      <c r="V20" s="2">
        <f>T20-D20</f>
        <v>4.2134937729088051E-5</v>
      </c>
      <c r="W20">
        <f t="shared" si="11"/>
        <v>56.477793972743044</v>
      </c>
      <c r="X20">
        <f>V20/T20*100</f>
        <v>5.2612771092074733E-4</v>
      </c>
      <c r="Y20" s="5">
        <f t="shared" si="13"/>
        <v>1.0533734432272012E-6</v>
      </c>
      <c r="Z20">
        <f t="shared" si="14"/>
        <v>3.2487845513308891</v>
      </c>
      <c r="AA20">
        <f t="shared" si="18"/>
        <v>0.19698128844070897</v>
      </c>
      <c r="AB20">
        <f t="shared" si="15"/>
        <v>5.6594857630704247</v>
      </c>
      <c r="AC20">
        <v>25</v>
      </c>
      <c r="AD20">
        <v>230.09287883296557</v>
      </c>
      <c r="AE20">
        <f t="shared" si="4"/>
        <v>5.6594857630704247</v>
      </c>
      <c r="AF20" s="2">
        <f t="shared" si="5"/>
        <v>129.95138205323556</v>
      </c>
      <c r="AG20">
        <f t="shared" si="6"/>
        <v>3.2487845513308891</v>
      </c>
      <c r="AH20">
        <f t="shared" si="7"/>
        <v>56.477793972743044</v>
      </c>
      <c r="AI20">
        <f t="shared" si="3"/>
        <v>3.049969378366475</v>
      </c>
      <c r="AJ20">
        <v>56.477793972743044</v>
      </c>
      <c r="AK20">
        <f t="shared" si="16"/>
        <v>0.32787214425594902</v>
      </c>
      <c r="AN20" s="2"/>
    </row>
    <row r="21" spans="1:40" x14ac:dyDescent="0.2">
      <c r="A21">
        <v>2004</v>
      </c>
      <c r="B21" s="1">
        <v>111386701.062295</v>
      </c>
      <c r="C21" s="2">
        <v>100.14149677973001</v>
      </c>
      <c r="D21" s="2">
        <v>8.0084578650622706</v>
      </c>
      <c r="E21" s="1" t="s">
        <v>3</v>
      </c>
      <c r="F21" s="2"/>
      <c r="G21" s="2">
        <v>10</v>
      </c>
      <c r="H21">
        <v>28</v>
      </c>
      <c r="I21">
        <f t="shared" si="0"/>
        <v>0.19698025206756517</v>
      </c>
      <c r="J21">
        <v>28</v>
      </c>
      <c r="K21">
        <f t="shared" si="17"/>
        <v>2.4631330538867862</v>
      </c>
      <c r="L21">
        <f t="shared" si="2"/>
        <v>12.50446696068761</v>
      </c>
      <c r="P21">
        <f t="shared" si="8"/>
        <v>0.24596527244890928</v>
      </c>
      <c r="U21" s="2"/>
      <c r="V21" s="2"/>
      <c r="W21" t="e">
        <f t="shared" si="11"/>
        <v>#DIV/0!</v>
      </c>
      <c r="X21" t="e">
        <f t="shared" si="12"/>
        <v>#DIV/0!</v>
      </c>
      <c r="Y21">
        <f t="shared" si="13"/>
        <v>0</v>
      </c>
      <c r="Z21">
        <f t="shared" si="14"/>
        <v>0</v>
      </c>
      <c r="AA21">
        <f t="shared" si="18"/>
        <v>0</v>
      </c>
      <c r="AB21">
        <f t="shared" si="15"/>
        <v>0</v>
      </c>
      <c r="AF21" s="2"/>
      <c r="AI21">
        <f t="shared" si="3"/>
        <v>3.049969378366475</v>
      </c>
      <c r="AK21">
        <f t="shared" si="16"/>
        <v>0.32787214425594902</v>
      </c>
      <c r="AL21">
        <v>28</v>
      </c>
      <c r="AM21">
        <v>8.0084578650622706</v>
      </c>
      <c r="AN21" s="2">
        <v>10</v>
      </c>
    </row>
    <row r="22" spans="1:40" x14ac:dyDescent="0.2">
      <c r="A22">
        <v>2005</v>
      </c>
      <c r="B22" s="1">
        <v>105149746.849314</v>
      </c>
      <c r="C22" s="2">
        <v>106.147968446071</v>
      </c>
      <c r="D22" s="2">
        <v>6.9299741801969299</v>
      </c>
      <c r="E22" s="1" t="s">
        <v>4</v>
      </c>
      <c r="F22" s="2">
        <v>256.26444775927598</v>
      </c>
      <c r="G22" s="2">
        <v>8.6387102289881597</v>
      </c>
      <c r="H22">
        <v>29</v>
      </c>
      <c r="I22">
        <v>0.15840867219734472</v>
      </c>
      <c r="J22">
        <v>29</v>
      </c>
      <c r="K22">
        <v>2.4263811524778185</v>
      </c>
      <c r="L22">
        <f t="shared" si="2"/>
        <v>15.317224232869304</v>
      </c>
      <c r="P22">
        <f t="shared" si="8"/>
        <v>0.19746778000733431</v>
      </c>
      <c r="S22">
        <f>1.44/2.29*F22</f>
        <v>161.14445623290715</v>
      </c>
      <c r="T22">
        <f>1.44/1.63*G22</f>
        <v>7.6317440059772697</v>
      </c>
      <c r="U22" s="2">
        <f t="shared" si="9"/>
        <v>54.996487786836141</v>
      </c>
      <c r="V22" s="2">
        <f t="shared" si="10"/>
        <v>0.70176982578033975</v>
      </c>
      <c r="W22">
        <f t="shared" si="11"/>
        <v>34.12868743517182</v>
      </c>
      <c r="X22">
        <f t="shared" si="12"/>
        <v>9.1954057320411362</v>
      </c>
      <c r="Y22">
        <f t="shared" si="13"/>
        <v>1.7544245644508495E-2</v>
      </c>
      <c r="Z22">
        <f t="shared" si="14"/>
        <v>1.3749121946709035</v>
      </c>
      <c r="AA22">
        <f t="shared" si="18"/>
        <v>0.19884867357381916</v>
      </c>
      <c r="AB22">
        <f t="shared" si="15"/>
        <v>4.198694472795629</v>
      </c>
      <c r="AC22">
        <v>26</v>
      </c>
      <c r="AD22">
        <v>211.14445623290715</v>
      </c>
      <c r="AE22">
        <f t="shared" si="4"/>
        <v>5.5014679503787258</v>
      </c>
      <c r="AF22" s="2">
        <f t="shared" si="5"/>
        <v>104.99648778683614</v>
      </c>
      <c r="AG22">
        <f t="shared" si="6"/>
        <v>2.6249121946709035</v>
      </c>
      <c r="AH22">
        <f t="shared" si="7"/>
        <v>49.727323965833918</v>
      </c>
      <c r="AI22">
        <f t="shared" si="3"/>
        <v>3.2308782244060787</v>
      </c>
      <c r="AJ22">
        <v>49.727323965833918</v>
      </c>
      <c r="AK22">
        <f t="shared" si="16"/>
        <v>0.30951336774193233</v>
      </c>
      <c r="AL22">
        <v>29</v>
      </c>
      <c r="AM22">
        <v>6.9299741801969299</v>
      </c>
      <c r="AN22" s="2">
        <v>8.6387102289881597</v>
      </c>
    </row>
    <row r="23" spans="1:40" x14ac:dyDescent="0.2">
      <c r="A23">
        <v>2006</v>
      </c>
      <c r="B23" s="1">
        <v>118264253.483835</v>
      </c>
      <c r="C23" s="2">
        <v>110.527919048782</v>
      </c>
      <c r="D23" s="2">
        <v>6.4409774131629201</v>
      </c>
      <c r="E23" s="1" t="s">
        <v>4</v>
      </c>
      <c r="F23" s="2">
        <v>326.67882937433501</v>
      </c>
      <c r="G23" s="2">
        <v>7.7798534468338802</v>
      </c>
      <c r="H23">
        <v>30</v>
      </c>
      <c r="I23">
        <v>0.13090428112572403</v>
      </c>
      <c r="J23">
        <v>30</v>
      </c>
      <c r="K23">
        <v>2.2463326385580435</v>
      </c>
      <c r="L23">
        <f t="shared" si="2"/>
        <v>17.160115920124912</v>
      </c>
      <c r="P23">
        <f t="shared" si="8"/>
        <v>0.15811515200162296</v>
      </c>
      <c r="S23">
        <f>1.44/2.29*F23</f>
        <v>205.42249532709272</v>
      </c>
      <c r="T23">
        <f t="shared" ref="T23:T38" si="19">1.44/1.63*G23</f>
        <v>6.8729993640741025</v>
      </c>
      <c r="U23" s="2">
        <f t="shared" si="9"/>
        <v>94.894576278310723</v>
      </c>
      <c r="V23" s="2">
        <f t="shared" si="10"/>
        <v>0.43202195091118245</v>
      </c>
      <c r="W23">
        <f t="shared" si="11"/>
        <v>46.194831840208536</v>
      </c>
      <c r="X23">
        <f t="shared" si="12"/>
        <v>6.2857848229901938</v>
      </c>
      <c r="Y23">
        <f t="shared" si="13"/>
        <v>1.0800548772779561E-2</v>
      </c>
      <c r="Z23">
        <f t="shared" si="14"/>
        <v>2.3723644069577681</v>
      </c>
      <c r="AA23">
        <f t="shared" si="18"/>
        <v>0.15922085236527064</v>
      </c>
      <c r="AB23">
        <f t="shared" si="15"/>
        <v>4.7588458936787239</v>
      </c>
      <c r="AC23">
        <v>27</v>
      </c>
      <c r="AD23">
        <v>255.42249532709272</v>
      </c>
      <c r="AE23">
        <f t="shared" si="4"/>
        <v>5.9171527982125358</v>
      </c>
      <c r="AF23" s="2">
        <f t="shared" si="5"/>
        <v>144.89457627831072</v>
      </c>
      <c r="AG23">
        <f t="shared" si="6"/>
        <v>3.6223644069577681</v>
      </c>
      <c r="AH23">
        <f t="shared" si="7"/>
        <v>56.72741396279897</v>
      </c>
      <c r="AI23">
        <f t="shared" si="3"/>
        <v>2.8726011232438537</v>
      </c>
      <c r="AJ23">
        <v>56.72741396279897</v>
      </c>
      <c r="AK23">
        <f t="shared" si="16"/>
        <v>0.34811655259354657</v>
      </c>
      <c r="AL23">
        <v>30</v>
      </c>
      <c r="AM23">
        <v>6.4409774131629201</v>
      </c>
      <c r="AN23" s="2">
        <v>7.7798534468338802</v>
      </c>
    </row>
    <row r="24" spans="1:40" x14ac:dyDescent="0.2">
      <c r="A24">
        <v>2007</v>
      </c>
      <c r="B24" s="1">
        <v>285568572.940274</v>
      </c>
      <c r="C24" s="2">
        <v>265.41465796860302</v>
      </c>
      <c r="D24" s="2">
        <v>14.675731147932201</v>
      </c>
      <c r="E24" s="1" t="s">
        <v>4</v>
      </c>
      <c r="F24" s="2">
        <v>373.84095216401198</v>
      </c>
      <c r="G24" s="2">
        <v>11.834526012364099</v>
      </c>
      <c r="H24">
        <v>31</v>
      </c>
      <c r="I24">
        <v>0.1235221676754963</v>
      </c>
      <c r="J24">
        <v>31</v>
      </c>
      <c r="K24">
        <v>2.2339325758057109</v>
      </c>
      <c r="L24">
        <f t="shared" si="2"/>
        <v>18.085276657987819</v>
      </c>
      <c r="P24">
        <f t="shared" si="8"/>
        <v>9.9608414171939302E-2</v>
      </c>
      <c r="S24">
        <f t="shared" ref="S23:S38" si="20">1.44/2.29*F24</f>
        <v>235.07902668828697</v>
      </c>
      <c r="T24">
        <f t="shared" si="19"/>
        <v>10.455041385156015</v>
      </c>
      <c r="U24" s="2">
        <f t="shared" si="9"/>
        <v>-30.335631280316051</v>
      </c>
      <c r="V24" s="2">
        <f t="shared" si="10"/>
        <v>-4.2206897627761855</v>
      </c>
      <c r="W24">
        <f t="shared" si="11"/>
        <v>-12.904439714454352</v>
      </c>
      <c r="X24">
        <f t="shared" si="12"/>
        <v>-40.369900101674276</v>
      </c>
      <c r="Y24">
        <f t="shared" si="13"/>
        <v>-0.10551724406940463</v>
      </c>
      <c r="Z24">
        <f t="shared" si="14"/>
        <v>-0.75839078200790122</v>
      </c>
      <c r="AA24">
        <f t="shared" si="18"/>
        <v>0.10030497650880602</v>
      </c>
      <c r="AB24">
        <f t="shared" si="15"/>
        <v>2.255332655417293</v>
      </c>
      <c r="AC24">
        <v>28</v>
      </c>
      <c r="AD24">
        <v>285.07902668828694</v>
      </c>
      <c r="AE24">
        <f t="shared" si="4"/>
        <v>2.7350293529895189</v>
      </c>
      <c r="AF24" s="2">
        <f t="shared" si="5"/>
        <v>19.664368719683921</v>
      </c>
      <c r="AG24">
        <f t="shared" si="6"/>
        <v>0.49160921799209806</v>
      </c>
      <c r="AH24">
        <f t="shared" si="7"/>
        <v>6.8978658122000214</v>
      </c>
      <c r="AI24">
        <f t="shared" si="3"/>
        <v>1.1896478099791223</v>
      </c>
      <c r="AJ24">
        <v>6.8978658122000214</v>
      </c>
      <c r="AK24">
        <f t="shared" si="16"/>
        <v>0.84058491228387111</v>
      </c>
      <c r="AL24">
        <v>31</v>
      </c>
      <c r="AM24">
        <v>14.675731147932201</v>
      </c>
      <c r="AN24" s="2">
        <v>11.834526012364099</v>
      </c>
    </row>
    <row r="25" spans="1:40" x14ac:dyDescent="0.2">
      <c r="A25">
        <v>2008</v>
      </c>
      <c r="B25" s="1">
        <v>116179240.131147</v>
      </c>
      <c r="C25" s="2">
        <v>120.422172754324</v>
      </c>
      <c r="D25" s="2">
        <v>6.2209102609855202</v>
      </c>
      <c r="E25" s="1" t="s">
        <v>4</v>
      </c>
      <c r="F25" s="2">
        <v>248.134754216744</v>
      </c>
      <c r="G25" s="2">
        <v>8.8692774054637198</v>
      </c>
      <c r="H25">
        <v>32</v>
      </c>
      <c r="I25">
        <v>0.12870071909886424</v>
      </c>
      <c r="J25">
        <v>32</v>
      </c>
      <c r="K25">
        <v>2.4913428387044254</v>
      </c>
      <c r="L25">
        <f t="shared" si="2"/>
        <v>19.357645055507785</v>
      </c>
      <c r="P25">
        <f t="shared" si="8"/>
        <v>0.18349121464254256</v>
      </c>
      <c r="S25">
        <f t="shared" si="20"/>
        <v>156.03233452930624</v>
      </c>
      <c r="T25">
        <f t="shared" si="19"/>
        <v>7.8354352539065992</v>
      </c>
      <c r="U25" s="2">
        <f t="shared" si="9"/>
        <v>35.610161774982245</v>
      </c>
      <c r="V25" s="2">
        <f t="shared" si="10"/>
        <v>1.614524992921079</v>
      </c>
      <c r="W25">
        <f t="shared" si="11"/>
        <v>22.822296341591869</v>
      </c>
      <c r="X25">
        <f t="shared" si="12"/>
        <v>20.605428295972551</v>
      </c>
      <c r="Y25">
        <f t="shared" si="13"/>
        <v>4.0363124823026973E-2</v>
      </c>
      <c r="Z25">
        <f t="shared" si="14"/>
        <v>0.89025404437455613</v>
      </c>
      <c r="AA25">
        <f t="shared" si="18"/>
        <v>0.18477436998969324</v>
      </c>
      <c r="AB25">
        <f t="shared" si="15"/>
        <v>3.6795373041081723</v>
      </c>
      <c r="AC25">
        <v>29</v>
      </c>
      <c r="AD25">
        <v>206.03233452930624</v>
      </c>
      <c r="AE25">
        <f t="shared" si="4"/>
        <v>4.8586317896223514</v>
      </c>
      <c r="AF25" s="2">
        <f t="shared" si="5"/>
        <v>85.610161774982245</v>
      </c>
      <c r="AG25">
        <f t="shared" si="6"/>
        <v>2.1402540443745561</v>
      </c>
      <c r="AH25">
        <f t="shared" si="7"/>
        <v>41.551808831639953</v>
      </c>
      <c r="AI25">
        <f t="shared" si="3"/>
        <v>2.9241543240751637</v>
      </c>
      <c r="AJ25">
        <v>41.551808831639953</v>
      </c>
      <c r="AK25">
        <f t="shared" si="16"/>
        <v>0.34197921490216654</v>
      </c>
      <c r="AL25">
        <v>32</v>
      </c>
      <c r="AM25">
        <v>6.2209102609855202</v>
      </c>
      <c r="AN25" s="2">
        <v>8.8692774054637198</v>
      </c>
    </row>
    <row r="26" spans="1:40" x14ac:dyDescent="0.2">
      <c r="A26">
        <v>2009</v>
      </c>
      <c r="B26" s="1">
        <v>112927279.324931</v>
      </c>
      <c r="C26" s="2">
        <v>103.43098241947</v>
      </c>
      <c r="D26" s="2">
        <v>5.0783316850079299</v>
      </c>
      <c r="E26" s="1" t="s">
        <v>4</v>
      </c>
      <c r="F26" s="2">
        <v>213.97357776191899</v>
      </c>
      <c r="G26" s="2">
        <v>7.5288323507997301</v>
      </c>
      <c r="H26">
        <v>33</v>
      </c>
      <c r="I26">
        <v>0.1080880710263772</v>
      </c>
      <c r="J26">
        <v>33</v>
      </c>
      <c r="K26">
        <v>2.2014425341865369</v>
      </c>
      <c r="L26">
        <f t="shared" si="2"/>
        <v>20.367118344163156</v>
      </c>
      <c r="P26">
        <f t="shared" si="8"/>
        <v>0.16024494191297725</v>
      </c>
      <c r="S26">
        <f t="shared" si="20"/>
        <v>134.55107073238571</v>
      </c>
      <c r="T26">
        <f t="shared" si="19"/>
        <v>6.6512383957985346</v>
      </c>
      <c r="U26" s="2">
        <f t="shared" si="9"/>
        <v>31.120088312915712</v>
      </c>
      <c r="V26" s="2">
        <f t="shared" si="10"/>
        <v>1.5729067107906047</v>
      </c>
      <c r="W26">
        <f t="shared" si="11"/>
        <v>23.128829925710338</v>
      </c>
      <c r="X26">
        <f t="shared" si="12"/>
        <v>23.648328584706586</v>
      </c>
      <c r="Y26">
        <f t="shared" si="13"/>
        <v>3.9322667769765118E-2</v>
      </c>
      <c r="Z26">
        <f t="shared" si="14"/>
        <v>0.77800220782289276</v>
      </c>
      <c r="AA26">
        <f t="shared" si="18"/>
        <v>0.16136553591236871</v>
      </c>
      <c r="AB26">
        <f t="shared" si="15"/>
        <v>3.2643403144336944</v>
      </c>
      <c r="AC26">
        <v>30</v>
      </c>
      <c r="AD26">
        <v>184.55107073238571</v>
      </c>
      <c r="AE26">
        <f t="shared" si="4"/>
        <v>4.4773891206101526</v>
      </c>
      <c r="AF26" s="2">
        <f t="shared" si="5"/>
        <v>81.120088312915712</v>
      </c>
      <c r="AG26">
        <f t="shared" si="6"/>
        <v>2.028002207822893</v>
      </c>
      <c r="AH26">
        <f t="shared" si="7"/>
        <v>43.955360427329374</v>
      </c>
      <c r="AI26">
        <f t="shared" si="3"/>
        <v>3.008361039317617</v>
      </c>
      <c r="AJ26">
        <v>43.955360427329374</v>
      </c>
      <c r="AK26">
        <f t="shared" si="16"/>
        <v>0.33240691091612756</v>
      </c>
      <c r="AL26">
        <v>33</v>
      </c>
      <c r="AM26">
        <v>5.0783316850079299</v>
      </c>
      <c r="AN26" s="2">
        <v>7.5288323507997301</v>
      </c>
    </row>
    <row r="27" spans="1:40" x14ac:dyDescent="0.2">
      <c r="A27">
        <v>2010</v>
      </c>
      <c r="B27" s="1">
        <v>155380552.29369801</v>
      </c>
      <c r="C27" s="2">
        <v>115.99160576601101</v>
      </c>
      <c r="D27" s="2">
        <v>5.6534030100235197</v>
      </c>
      <c r="E27" s="1" t="s">
        <v>4</v>
      </c>
      <c r="F27" s="2">
        <v>324.14805522570202</v>
      </c>
      <c r="G27" s="2">
        <v>10.088851390876201</v>
      </c>
      <c r="H27">
        <v>34</v>
      </c>
      <c r="I27">
        <v>8.7451820281016279E-2</v>
      </c>
      <c r="J27">
        <v>34</v>
      </c>
      <c r="K27">
        <v>1.7942603850408123</v>
      </c>
      <c r="L27">
        <f t="shared" si="2"/>
        <v>20.517130224106992</v>
      </c>
      <c r="P27">
        <f t="shared" si="8"/>
        <v>0.15606324493627707</v>
      </c>
      <c r="S27">
        <f t="shared" si="20"/>
        <v>203.83109149563793</v>
      </c>
      <c r="T27">
        <f t="shared" si="19"/>
        <v>8.9128503085041277</v>
      </c>
      <c r="U27" s="2">
        <f t="shared" si="9"/>
        <v>87.839485729626929</v>
      </c>
      <c r="V27" s="2">
        <f t="shared" si="10"/>
        <v>3.259447298480608</v>
      </c>
      <c r="W27">
        <f t="shared" si="11"/>
        <v>43.094252738918748</v>
      </c>
      <c r="X27">
        <f t="shared" si="12"/>
        <v>36.57020128982343</v>
      </c>
      <c r="Y27">
        <f t="shared" si="13"/>
        <v>8.1486182462015194E-2</v>
      </c>
      <c r="Z27">
        <f t="shared" si="14"/>
        <v>2.1959871432406732</v>
      </c>
      <c r="AA27">
        <f t="shared" si="18"/>
        <v>0.15715459629946782</v>
      </c>
      <c r="AB27">
        <f t="shared" si="15"/>
        <v>3.5940234367801325</v>
      </c>
      <c r="AC27">
        <v>31</v>
      </c>
      <c r="AD27">
        <v>253.83109149563793</v>
      </c>
      <c r="AE27">
        <f t="shared" si="4"/>
        <v>4.4756414986784678</v>
      </c>
      <c r="AF27" s="2">
        <f t="shared" si="5"/>
        <v>137.83948572962692</v>
      </c>
      <c r="AG27">
        <f t="shared" si="6"/>
        <v>3.4459871432406732</v>
      </c>
      <c r="AH27">
        <f t="shared" si="7"/>
        <v>54.303625658086766</v>
      </c>
      <c r="AI27">
        <f t="shared" si="3"/>
        <v>2.1864127935078721</v>
      </c>
      <c r="AJ27">
        <v>54.303625658086766</v>
      </c>
      <c r="AK27">
        <f t="shared" si="16"/>
        <v>0.45737017409032077</v>
      </c>
      <c r="AL27">
        <v>34</v>
      </c>
      <c r="AM27">
        <v>5.6534030100235197</v>
      </c>
      <c r="AN27" s="2">
        <v>10.088851390876201</v>
      </c>
    </row>
    <row r="28" spans="1:40" x14ac:dyDescent="0.2">
      <c r="A28">
        <v>2011</v>
      </c>
      <c r="B28" s="1">
        <v>158766748.668493</v>
      </c>
      <c r="C28" s="2">
        <v>121.249382038492</v>
      </c>
      <c r="D28" s="2">
        <v>7.5348506424870898</v>
      </c>
      <c r="E28" s="1" t="s">
        <v>4</v>
      </c>
      <c r="F28" s="2">
        <v>369.83335706195498</v>
      </c>
      <c r="G28" s="2">
        <v>12.5785036363748</v>
      </c>
      <c r="H28">
        <v>35</v>
      </c>
      <c r="I28">
        <v>0.1140697961813518</v>
      </c>
      <c r="J28">
        <v>35</v>
      </c>
      <c r="K28">
        <v>1.8355894433071822</v>
      </c>
      <c r="L28">
        <f t="shared" si="2"/>
        <v>16.091809617936928</v>
      </c>
      <c r="P28">
        <f t="shared" si="8"/>
        <v>0.19042545289179885</v>
      </c>
      <c r="S28">
        <f t="shared" si="20"/>
        <v>232.55896688612015</v>
      </c>
      <c r="T28">
        <f t="shared" si="19"/>
        <v>11.112297691030498</v>
      </c>
      <c r="U28" s="2">
        <f t="shared" si="9"/>
        <v>111.30958484762814</v>
      </c>
      <c r="V28" s="2">
        <f t="shared" si="10"/>
        <v>3.5774470485434087</v>
      </c>
      <c r="W28">
        <f t="shared" si="11"/>
        <v>47.862951206751106</v>
      </c>
      <c r="X28">
        <f t="shared" si="12"/>
        <v>32.193585413312071</v>
      </c>
      <c r="Y28">
        <f t="shared" si="13"/>
        <v>8.9436176213585211E-2</v>
      </c>
      <c r="Z28">
        <f t="shared" si="14"/>
        <v>2.7827396211907036</v>
      </c>
      <c r="AA28">
        <f t="shared" si="18"/>
        <v>0.19175709941551777</v>
      </c>
      <c r="AB28">
        <f t="shared" si="15"/>
        <v>4.0131063955519668</v>
      </c>
      <c r="AC28">
        <v>32</v>
      </c>
      <c r="AD28">
        <v>282.55896688612017</v>
      </c>
      <c r="AE28">
        <f t="shared" si="4"/>
        <v>4.8759212010367863</v>
      </c>
      <c r="AF28" s="2">
        <f t="shared" si="5"/>
        <v>161.30958484762817</v>
      </c>
      <c r="AG28">
        <f t="shared" si="6"/>
        <v>4.0327396211907045</v>
      </c>
      <c r="AH28">
        <f t="shared" si="7"/>
        <v>57.08882171580165</v>
      </c>
      <c r="AI28">
        <f t="shared" si="3"/>
        <v>2.1397807176023522</v>
      </c>
      <c r="AJ28">
        <v>57.08882171580165</v>
      </c>
      <c r="AK28">
        <f t="shared" si="16"/>
        <v>0.46733760696774151</v>
      </c>
      <c r="AL28">
        <v>35</v>
      </c>
      <c r="AM28">
        <v>7.5348506424870898</v>
      </c>
      <c r="AN28" s="2">
        <v>12.5785036363748</v>
      </c>
    </row>
    <row r="29" spans="1:40" x14ac:dyDescent="0.2">
      <c r="A29">
        <v>2012</v>
      </c>
      <c r="B29" s="1">
        <v>124556767.554098</v>
      </c>
      <c r="C29" s="2">
        <v>94.742104097097794</v>
      </c>
      <c r="D29" s="2">
        <v>5.0208416650425596</v>
      </c>
      <c r="E29" s="1" t="s">
        <v>4</v>
      </c>
      <c r="F29" s="2">
        <v>235.32120497248701</v>
      </c>
      <c r="G29" s="2">
        <v>7.7529485616172504</v>
      </c>
      <c r="H29">
        <v>36</v>
      </c>
      <c r="I29">
        <v>9.6886834187674201E-2</v>
      </c>
      <c r="J29">
        <v>36</v>
      </c>
      <c r="K29">
        <v>1.8282318269777731</v>
      </c>
      <c r="L29">
        <f t="shared" si="2"/>
        <v>18.869765353633134</v>
      </c>
      <c r="P29">
        <f t="shared" si="8"/>
        <v>0.14960811191973936</v>
      </c>
      <c r="S29">
        <f t="shared" si="20"/>
        <v>147.97490618357259</v>
      </c>
      <c r="T29">
        <f t="shared" si="19"/>
        <v>6.8492306311219879</v>
      </c>
      <c r="U29" s="2">
        <f t="shared" si="9"/>
        <v>53.232802086474791</v>
      </c>
      <c r="V29" s="2">
        <f t="shared" si="10"/>
        <v>1.8283889660794284</v>
      </c>
      <c r="W29">
        <f t="shared" si="11"/>
        <v>35.974209046252753</v>
      </c>
      <c r="X29">
        <f>V29/T29*100</f>
        <v>26.694807994513624</v>
      </c>
      <c r="Y29">
        <f t="shared" si="13"/>
        <v>4.5709724151985709E-2</v>
      </c>
      <c r="Z29">
        <f t="shared" si="14"/>
        <v>1.3308200521618698</v>
      </c>
      <c r="AA29">
        <f t="shared" si="18"/>
        <v>0.15065432249260466</v>
      </c>
      <c r="AB29">
        <f t="shared" si="15"/>
        <v>3.2548267736373457</v>
      </c>
      <c r="AC29">
        <v>33</v>
      </c>
      <c r="AD29">
        <v>197.97490618357259</v>
      </c>
      <c r="AE29">
        <f t="shared" si="4"/>
        <v>4.3546168858877019</v>
      </c>
      <c r="AF29" s="2">
        <f t="shared" si="5"/>
        <v>103.23280208647479</v>
      </c>
      <c r="AG29">
        <f t="shared" si="6"/>
        <v>2.5808200521618696</v>
      </c>
      <c r="AH29">
        <f>(AF29/AD29)*100</f>
        <v>52.144387425925586</v>
      </c>
      <c r="AI29">
        <f t="shared" si="3"/>
        <v>2.7274794783808844</v>
      </c>
      <c r="AJ29">
        <v>52.144387425925586</v>
      </c>
      <c r="AK29">
        <f t="shared" si="16"/>
        <v>0.36663887223585295</v>
      </c>
      <c r="AL29">
        <v>36</v>
      </c>
      <c r="AM29">
        <v>5.0208416650425596</v>
      </c>
      <c r="AN29" s="2">
        <v>7.7529485616172504</v>
      </c>
    </row>
    <row r="30" spans="1:40" x14ac:dyDescent="0.2">
      <c r="A30">
        <v>2013</v>
      </c>
      <c r="B30" s="1">
        <v>77020193.490410894</v>
      </c>
      <c r="C30" s="2">
        <v>65.609848148798406</v>
      </c>
      <c r="D30" s="2">
        <v>2.44339717608907</v>
      </c>
      <c r="E30" s="1" t="s">
        <v>4</v>
      </c>
      <c r="F30" s="2">
        <v>206.70484989937501</v>
      </c>
      <c r="G30" s="2">
        <v>6.8422684932933402</v>
      </c>
      <c r="H30">
        <v>37</v>
      </c>
      <c r="I30">
        <v>7.6250909973760564E-2</v>
      </c>
      <c r="J30">
        <v>37</v>
      </c>
      <c r="K30">
        <v>2.047481544770255</v>
      </c>
      <c r="L30">
        <f t="shared" si="2"/>
        <v>26.851896527855654</v>
      </c>
      <c r="P30">
        <f t="shared" si="8"/>
        <v>0.21352615285145524</v>
      </c>
      <c r="S30">
        <f t="shared" si="20"/>
        <v>129.98034229480348</v>
      </c>
      <c r="T30">
        <f t="shared" si="19"/>
        <v>6.0447034541977978</v>
      </c>
      <c r="U30" s="2">
        <f t="shared" si="9"/>
        <v>64.370494146005072</v>
      </c>
      <c r="V30" s="2">
        <f t="shared" si="10"/>
        <v>3.6013062781087277</v>
      </c>
      <c r="W30">
        <f t="shared" si="11"/>
        <v>49.523253293185512</v>
      </c>
      <c r="X30">
        <f t="shared" si="12"/>
        <v>59.577881783559924</v>
      </c>
      <c r="Y30">
        <f t="shared" si="13"/>
        <v>9.0032656952718199E-2</v>
      </c>
      <c r="Z30">
        <f t="shared" si="14"/>
        <v>1.6092623536501267</v>
      </c>
      <c r="AA30">
        <f t="shared" si="18"/>
        <v>0.21501934273153536</v>
      </c>
      <c r="AB30">
        <f t="shared" si="15"/>
        <v>4.6235994834187766</v>
      </c>
      <c r="AC30">
        <v>34</v>
      </c>
      <c r="AD30">
        <v>179.98034229480348</v>
      </c>
      <c r="AE30">
        <f t="shared" si="4"/>
        <v>6.4021759211281664</v>
      </c>
      <c r="AF30" s="2">
        <f t="shared" si="5"/>
        <v>114.37049414600507</v>
      </c>
      <c r="AG30">
        <f t="shared" si="6"/>
        <v>2.8592623536501272</v>
      </c>
      <c r="AH30">
        <f t="shared" si="7"/>
        <v>63.546103250914456</v>
      </c>
      <c r="AI30">
        <f t="shared" si="3"/>
        <v>4.4108695655192891</v>
      </c>
      <c r="AJ30">
        <v>63.546103250914456</v>
      </c>
      <c r="AK30">
        <f t="shared" si="16"/>
        <v>0.22671266632258047</v>
      </c>
      <c r="AL30">
        <v>37</v>
      </c>
      <c r="AM30">
        <v>2.44339717608907</v>
      </c>
      <c r="AN30" s="2">
        <v>6.8422684932933402</v>
      </c>
    </row>
    <row r="31" spans="1:40" x14ac:dyDescent="0.2">
      <c r="A31">
        <v>2014</v>
      </c>
      <c r="B31" s="1">
        <v>71070820.155616403</v>
      </c>
      <c r="C31" s="2">
        <v>56.3756249005135</v>
      </c>
      <c r="D31" s="2">
        <v>3.21048217164974</v>
      </c>
      <c r="E31" s="1" t="s">
        <v>4</v>
      </c>
      <c r="F31" s="2">
        <v>246.10877794509801</v>
      </c>
      <c r="G31" s="2">
        <v>6.8316321683294499</v>
      </c>
      <c r="H31">
        <v>38</v>
      </c>
      <c r="I31">
        <v>0.10857616649591179</v>
      </c>
      <c r="J31">
        <v>38</v>
      </c>
      <c r="K31">
        <v>1.9065825344122245</v>
      </c>
      <c r="L31">
        <f t="shared" si="2"/>
        <v>17.559862315492719</v>
      </c>
      <c r="P31">
        <f t="shared" si="8"/>
        <v>0.23104081944370614</v>
      </c>
      <c r="S31">
        <f t="shared" si="20"/>
        <v>154.75835818381708</v>
      </c>
      <c r="T31">
        <f t="shared" si="19"/>
        <v>6.0353069462542379</v>
      </c>
      <c r="U31" s="2">
        <f t="shared" si="9"/>
        <v>98.38273328330358</v>
      </c>
      <c r="V31" s="2">
        <f t="shared" si="10"/>
        <v>2.8248247746044979</v>
      </c>
      <c r="W31">
        <f t="shared" si="11"/>
        <v>63.571838340677978</v>
      </c>
      <c r="X31">
        <f t="shared" si="12"/>
        <v>46.804989369392416</v>
      </c>
      <c r="Y31">
        <f t="shared" si="13"/>
        <v>7.062061936511245E-2</v>
      </c>
      <c r="Z31">
        <f t="shared" si="14"/>
        <v>2.4595683320825894</v>
      </c>
      <c r="AA31">
        <f t="shared" si="18"/>
        <v>0.23265648950974602</v>
      </c>
      <c r="AB31">
        <f t="shared" si="15"/>
        <v>5.9658169266246324</v>
      </c>
      <c r="AC31">
        <v>35</v>
      </c>
      <c r="AD31">
        <v>204.75835818381708</v>
      </c>
      <c r="AE31">
        <f t="shared" si="4"/>
        <v>7.893278873312715</v>
      </c>
      <c r="AF31" s="2">
        <f t="shared" si="5"/>
        <v>148.38273328330359</v>
      </c>
      <c r="AG31">
        <f t="shared" si="6"/>
        <v>3.7095683320825898</v>
      </c>
      <c r="AH31">
        <f t="shared" si="7"/>
        <v>72.46724119075833</v>
      </c>
      <c r="AI31">
        <f t="shared" si="3"/>
        <v>4.7801056277864449</v>
      </c>
      <c r="AJ31">
        <v>72.46724119075833</v>
      </c>
      <c r="AK31">
        <f t="shared" si="16"/>
        <v>0.20920039803870957</v>
      </c>
      <c r="AL31">
        <v>38</v>
      </c>
      <c r="AM31">
        <v>3.21048217164974</v>
      </c>
      <c r="AN31" s="2">
        <v>6.8316321683294499</v>
      </c>
    </row>
    <row r="32" spans="1:40" x14ac:dyDescent="0.2">
      <c r="A32">
        <v>2015</v>
      </c>
      <c r="B32" s="1">
        <v>132930063.12328701</v>
      </c>
      <c r="C32" s="2">
        <v>115.1162937119</v>
      </c>
      <c r="D32" s="2">
        <v>6.4380767619202004</v>
      </c>
      <c r="E32" s="1" t="s">
        <v>4</v>
      </c>
      <c r="F32" s="2">
        <v>330.80457679907198</v>
      </c>
      <c r="G32" s="2">
        <v>9.2672479742180602</v>
      </c>
      <c r="H32">
        <v>39</v>
      </c>
      <c r="I32">
        <v>0.11640952259140541</v>
      </c>
      <c r="J32">
        <v>39</v>
      </c>
      <c r="K32">
        <v>2.0814652091065553</v>
      </c>
      <c r="L32">
        <f t="shared" si="2"/>
        <v>17.880540721848394</v>
      </c>
      <c r="P32">
        <f t="shared" si="8"/>
        <v>0.16756493473264136</v>
      </c>
      <c r="S32">
        <f t="shared" si="20"/>
        <v>208.01685178631598</v>
      </c>
      <c r="T32">
        <f t="shared" si="19"/>
        <v>8.1870166152601271</v>
      </c>
      <c r="U32" s="2">
        <f t="shared" si="9"/>
        <v>92.900558074415983</v>
      </c>
      <c r="V32" s="2">
        <f t="shared" si="10"/>
        <v>1.7489398533399267</v>
      </c>
      <c r="W32">
        <f t="shared" si="11"/>
        <v>44.66011156146498</v>
      </c>
      <c r="X32">
        <f t="shared" si="12"/>
        <v>21.362358665304328</v>
      </c>
      <c r="Y32">
        <f t="shared" si="13"/>
        <v>4.3723496333498167E-2</v>
      </c>
      <c r="Z32">
        <f t="shared" si="14"/>
        <v>2.3225139518603997</v>
      </c>
      <c r="AA32">
        <f t="shared" si="18"/>
        <v>0.16873671749300945</v>
      </c>
      <c r="AB32">
        <f t="shared" si="15"/>
        <v>4.2872858824090194</v>
      </c>
      <c r="AC32">
        <v>36</v>
      </c>
      <c r="AD32">
        <v>258.01685178631601</v>
      </c>
      <c r="AE32">
        <f t="shared" si="4"/>
        <v>5.3177999598966235</v>
      </c>
      <c r="AF32" s="2">
        <f t="shared" si="5"/>
        <v>142.90055807441601</v>
      </c>
      <c r="AG32">
        <f t="shared" si="6"/>
        <v>3.5725139518604001</v>
      </c>
      <c r="AH32">
        <f t="shared" si="7"/>
        <v>55.384195677561074</v>
      </c>
      <c r="AI32">
        <f t="shared" si="3"/>
        <v>2.5556749121692568</v>
      </c>
      <c r="AJ32">
        <v>55.384195677561074</v>
      </c>
      <c r="AK32">
        <f t="shared" si="16"/>
        <v>0.39128607290322381</v>
      </c>
      <c r="AL32">
        <v>39</v>
      </c>
      <c r="AM32">
        <v>6.4380767619202004</v>
      </c>
      <c r="AN32" s="2">
        <v>9.2672479742180602</v>
      </c>
    </row>
    <row r="33" spans="1:40" x14ac:dyDescent="0.2">
      <c r="A33">
        <v>2016</v>
      </c>
      <c r="B33" s="1">
        <v>115872594.01643801</v>
      </c>
      <c r="C33" s="2">
        <v>68.035324678980601</v>
      </c>
      <c r="D33" s="2">
        <v>3.4860609329901799</v>
      </c>
      <c r="E33" s="1" t="s">
        <v>4</v>
      </c>
      <c r="F33" s="2">
        <v>214.81915236681101</v>
      </c>
      <c r="G33" s="2">
        <v>6.6823425204107201</v>
      </c>
      <c r="H33">
        <v>40</v>
      </c>
      <c r="I33">
        <v>7.231190668639613E-2</v>
      </c>
      <c r="J33">
        <v>40</v>
      </c>
      <c r="K33">
        <v>1.4112673714355202</v>
      </c>
      <c r="L33">
        <f t="shared" si="2"/>
        <v>19.516389984790965</v>
      </c>
      <c r="P33">
        <f t="shared" si="8"/>
        <v>0.13861287512493353</v>
      </c>
      <c r="S33">
        <f t="shared" si="20"/>
        <v>135.08278576777633</v>
      </c>
      <c r="T33">
        <f t="shared" si="19"/>
        <v>5.9034191591358507</v>
      </c>
      <c r="U33" s="2">
        <f t="shared" si="9"/>
        <v>67.047461088795728</v>
      </c>
      <c r="V33" s="2">
        <f t="shared" si="10"/>
        <v>2.4173582261456708</v>
      </c>
      <c r="W33">
        <f t="shared" si="11"/>
        <v>49.634348823734236</v>
      </c>
      <c r="X33">
        <f t="shared" si="12"/>
        <v>40.948442944368644</v>
      </c>
      <c r="Y33">
        <f t="shared" si="13"/>
        <v>6.043395565364177E-2</v>
      </c>
      <c r="Z33">
        <f t="shared" si="14"/>
        <v>1.6761865272198933</v>
      </c>
      <c r="AA33">
        <f t="shared" si="18"/>
        <v>0.13958219593000298</v>
      </c>
      <c r="AB33">
        <f t="shared" si="15"/>
        <v>3.193937506644609</v>
      </c>
      <c r="AC33">
        <v>37</v>
      </c>
      <c r="AD33">
        <v>185.08278576777633</v>
      </c>
      <c r="AE33">
        <f t="shared" si="4"/>
        <v>4.3761523567793166</v>
      </c>
      <c r="AF33" s="2">
        <f t="shared" si="5"/>
        <v>117.04746108879573</v>
      </c>
      <c r="AG33">
        <f t="shared" si="6"/>
        <v>2.926186527219893</v>
      </c>
      <c r="AH33">
        <f t="shared" si="7"/>
        <v>63.240598310236898</v>
      </c>
      <c r="AI33">
        <f t="shared" si="3"/>
        <v>2.9318928283340737</v>
      </c>
      <c r="AJ33">
        <v>63.240598310236898</v>
      </c>
      <c r="AK33">
        <f t="shared" si="16"/>
        <v>0.34107658722580542</v>
      </c>
      <c r="AL33">
        <v>40</v>
      </c>
      <c r="AM33">
        <v>3.4860609329901799</v>
      </c>
      <c r="AN33" s="2">
        <v>6.6823425204107201</v>
      </c>
    </row>
    <row r="34" spans="1:40" x14ac:dyDescent="0.2">
      <c r="A34">
        <v>2017</v>
      </c>
      <c r="B34" s="1">
        <v>101179437.07252701</v>
      </c>
      <c r="C34" s="2">
        <v>77.745558977074793</v>
      </c>
      <c r="D34" s="2">
        <v>3.8049224315379599</v>
      </c>
      <c r="E34" s="1" t="s">
        <v>4</v>
      </c>
      <c r="F34" s="2">
        <v>222.15652355288501</v>
      </c>
      <c r="G34" s="2">
        <v>8.0157416171842399</v>
      </c>
      <c r="H34">
        <v>41</v>
      </c>
      <c r="I34">
        <v>9.0387654588588842E-2</v>
      </c>
      <c r="J34">
        <v>41</v>
      </c>
      <c r="K34">
        <v>1.8468809435823821</v>
      </c>
      <c r="L34">
        <f t="shared" si="2"/>
        <v>20.432889336366795</v>
      </c>
      <c r="P34">
        <f t="shared" si="8"/>
        <v>0.19041757029264089</v>
      </c>
      <c r="S34">
        <f t="shared" si="20"/>
        <v>139.69667856600628</v>
      </c>
      <c r="T34">
        <f t="shared" si="19"/>
        <v>7.0813913673284086</v>
      </c>
      <c r="U34" s="2">
        <f t="shared" si="9"/>
        <v>61.951119588931491</v>
      </c>
      <c r="V34" s="2">
        <f t="shared" si="10"/>
        <v>3.2764689357904486</v>
      </c>
      <c r="W34">
        <f t="shared" si="11"/>
        <v>44.346880845602755</v>
      </c>
      <c r="X34">
        <f t="shared" si="12"/>
        <v>46.268717061835822</v>
      </c>
      <c r="Y34">
        <f t="shared" si="13"/>
        <v>8.1911723394761216E-2</v>
      </c>
      <c r="Z34">
        <f t="shared" si="14"/>
        <v>1.5487779897232872</v>
      </c>
      <c r="AA34">
        <f t="shared" si="18"/>
        <v>0.19174916169328873</v>
      </c>
      <c r="AB34">
        <f t="shared" si="15"/>
        <v>3.7826917927393593</v>
      </c>
      <c r="AC34">
        <v>38</v>
      </c>
      <c r="AD34">
        <v>189.69667856600628</v>
      </c>
      <c r="AE34">
        <f t="shared" si="4"/>
        <v>5.1365864706833477</v>
      </c>
      <c r="AF34" s="2">
        <f t="shared" si="5"/>
        <v>111.95111958893149</v>
      </c>
      <c r="AG34">
        <f t="shared" si="6"/>
        <v>2.7987779897232872</v>
      </c>
      <c r="AH34">
        <f t="shared" si="7"/>
        <v>59.015856490063591</v>
      </c>
      <c r="AI34">
        <f t="shared" si="3"/>
        <v>3.3576588013010915</v>
      </c>
      <c r="AJ34">
        <v>59.015856490063591</v>
      </c>
      <c r="AK34">
        <f t="shared" si="16"/>
        <v>0.29782656880219643</v>
      </c>
      <c r="AL34">
        <v>41</v>
      </c>
      <c r="AM34">
        <v>3.8049224315379599</v>
      </c>
      <c r="AN34" s="2">
        <v>8.0157416171842399</v>
      </c>
    </row>
    <row r="35" spans="1:40" x14ac:dyDescent="0.2">
      <c r="A35">
        <v>2018</v>
      </c>
      <c r="B35" s="1">
        <v>82263979.780219793</v>
      </c>
      <c r="C35" s="2">
        <v>68.461797806011006</v>
      </c>
      <c r="D35" s="2">
        <v>2.7328025529672502</v>
      </c>
      <c r="E35" s="1" t="s">
        <v>4</v>
      </c>
      <c r="F35" s="2">
        <v>235.29428132037501</v>
      </c>
      <c r="G35" s="2">
        <v>8.02981999780277</v>
      </c>
      <c r="H35">
        <v>42</v>
      </c>
      <c r="I35">
        <v>7.9846173347900312E-2</v>
      </c>
      <c r="J35">
        <v>42</v>
      </c>
      <c r="K35">
        <v>2.0002954730089364</v>
      </c>
      <c r="L35">
        <f t="shared" si="2"/>
        <v>25.05186396714825</v>
      </c>
      <c r="P35">
        <f t="shared" si="8"/>
        <v>0.23461277830000624</v>
      </c>
      <c r="S35">
        <f t="shared" si="20"/>
        <v>147.95797602678601</v>
      </c>
      <c r="T35">
        <f t="shared" si="19"/>
        <v>7.0938287097153303</v>
      </c>
      <c r="U35" s="2">
        <f t="shared" si="9"/>
        <v>79.496178220775008</v>
      </c>
      <c r="V35" s="2">
        <f t="shared" si="10"/>
        <v>4.3610261567480801</v>
      </c>
      <c r="W35">
        <f t="shared" si="11"/>
        <v>53.728890023734287</v>
      </c>
      <c r="X35">
        <f t="shared" si="12"/>
        <v>61.476338592380323</v>
      </c>
      <c r="Y35">
        <f t="shared" si="13"/>
        <v>0.109025653918702</v>
      </c>
      <c r="Z35">
        <f t="shared" si="14"/>
        <v>1.9874044555193753</v>
      </c>
      <c r="AA35">
        <f t="shared" si="18"/>
        <v>0.23625342709930691</v>
      </c>
      <c r="AB35">
        <f t="shared" si="15"/>
        <v>4.9276040250495461</v>
      </c>
      <c r="AC35">
        <v>39</v>
      </c>
      <c r="AD35">
        <v>197.95797602678601</v>
      </c>
      <c r="AE35">
        <f t="shared" si="4"/>
        <v>6.5928079421933781</v>
      </c>
      <c r="AF35" s="2">
        <f t="shared" si="5"/>
        <v>129.49617822077499</v>
      </c>
      <c r="AG35">
        <f t="shared" si="6"/>
        <v>3.2374044555193748</v>
      </c>
      <c r="AH35">
        <f t="shared" si="7"/>
        <v>65.415994252867421</v>
      </c>
      <c r="AI35">
        <f t="shared" si="3"/>
        <v>4.129705714516704</v>
      </c>
      <c r="AJ35">
        <v>65.415994252867421</v>
      </c>
      <c r="AK35">
        <f t="shared" si="16"/>
        <v>0.24214800499822761</v>
      </c>
      <c r="AL35">
        <v>42</v>
      </c>
      <c r="AM35">
        <v>2.7328025529672502</v>
      </c>
      <c r="AN35" s="2">
        <v>8.02981999780277</v>
      </c>
    </row>
    <row r="36" spans="1:40" x14ac:dyDescent="0.2">
      <c r="A36">
        <v>2019</v>
      </c>
      <c r="B36" s="1">
        <v>102351666.516164</v>
      </c>
      <c r="C36" s="2">
        <v>116.049390046022</v>
      </c>
      <c r="D36" s="2">
        <v>5.4936745244218601</v>
      </c>
      <c r="E36" s="1" t="s">
        <v>4</v>
      </c>
      <c r="F36" s="2">
        <v>325.598690220918</v>
      </c>
      <c r="G36" s="2">
        <v>11.2385632190576</v>
      </c>
      <c r="H36">
        <v>41</v>
      </c>
      <c r="I36">
        <v>0.12901005966888007</v>
      </c>
      <c r="J36">
        <v>41</v>
      </c>
      <c r="K36">
        <v>2.7252322043869177</v>
      </c>
      <c r="L36">
        <f t="shared" si="2"/>
        <v>21.124183737156276</v>
      </c>
      <c r="P36">
        <f t="shared" si="8"/>
        <v>0.26391947776259722</v>
      </c>
      <c r="S36">
        <f t="shared" si="20"/>
        <v>204.74328118695277</v>
      </c>
      <c r="T36">
        <f t="shared" si="19"/>
        <v>9.9285466475110091</v>
      </c>
      <c r="U36" s="2">
        <f t="shared" si="9"/>
        <v>88.693891140930774</v>
      </c>
      <c r="V36" s="2">
        <f t="shared" si="10"/>
        <v>4.434872123089149</v>
      </c>
      <c r="W36">
        <f t="shared" si="11"/>
        <v>43.319561270459303</v>
      </c>
      <c r="X36">
        <f t="shared" si="12"/>
        <v>44.66788826742259</v>
      </c>
      <c r="Y36">
        <f t="shared" si="13"/>
        <v>0.11087180307722873</v>
      </c>
      <c r="Z36">
        <f t="shared" si="14"/>
        <v>2.2173472785232695</v>
      </c>
      <c r="AA36">
        <f t="shared" si="18"/>
        <v>0.26576506851618187</v>
      </c>
      <c r="AB36">
        <f t="shared" si="15"/>
        <v>5.4805213778714883</v>
      </c>
      <c r="AC36">
        <v>40</v>
      </c>
      <c r="AD36">
        <v>254.74328118695277</v>
      </c>
      <c r="AE36">
        <f t="shared" si="4"/>
        <v>6.818909955533087</v>
      </c>
      <c r="AF36" s="2">
        <f t="shared" si="5"/>
        <v>138.69389114093076</v>
      </c>
      <c r="AG36">
        <f t="shared" si="6"/>
        <v>3.4673472785232695</v>
      </c>
      <c r="AH36">
        <f t="shared" si="7"/>
        <v>54.4445727850797</v>
      </c>
      <c r="AI36">
        <f t="shared" si="3"/>
        <v>3.3192036726007643</v>
      </c>
      <c r="AJ36">
        <v>54.4445727850797</v>
      </c>
      <c r="AK36">
        <f t="shared" si="16"/>
        <v>0.30127708289032151</v>
      </c>
      <c r="AL36">
        <v>41</v>
      </c>
      <c r="AM36">
        <v>5.4936745244218601</v>
      </c>
      <c r="AN36" s="2">
        <v>11.2385632190576</v>
      </c>
    </row>
    <row r="37" spans="1:40" x14ac:dyDescent="0.2">
      <c r="A37">
        <v>2020</v>
      </c>
      <c r="B37" s="1">
        <v>95284441.888524503</v>
      </c>
      <c r="C37" s="2">
        <v>81.518326282681997</v>
      </c>
      <c r="D37" s="2">
        <v>4.4093321316173499</v>
      </c>
      <c r="E37" s="1" t="s">
        <v>4</v>
      </c>
      <c r="F37" s="2">
        <v>216.35356926679401</v>
      </c>
      <c r="G37" s="2">
        <v>7.1781620990815602</v>
      </c>
      <c r="H37">
        <v>43</v>
      </c>
      <c r="I37">
        <v>0.111226017466224</v>
      </c>
      <c r="J37">
        <v>43</v>
      </c>
      <c r="K37">
        <v>2.0563111401656102</v>
      </c>
      <c r="L37">
        <f t="shared" si="2"/>
        <v>18.487681093050469</v>
      </c>
      <c r="P37">
        <f t="shared" si="8"/>
        <v>0.18107013923557147</v>
      </c>
      <c r="S37">
        <f t="shared" si="20"/>
        <v>136.04765927693595</v>
      </c>
      <c r="T37">
        <f t="shared" si="19"/>
        <v>6.3414438175935253</v>
      </c>
      <c r="U37" s="2">
        <f t="shared" si="9"/>
        <v>54.529332994253949</v>
      </c>
      <c r="V37" s="2">
        <f t="shared" si="10"/>
        <v>1.9321116859761753</v>
      </c>
      <c r="W37">
        <f t="shared" si="11"/>
        <v>40.081051951989203</v>
      </c>
      <c r="X37">
        <f t="shared" si="12"/>
        <v>30.468009203452667</v>
      </c>
      <c r="Y37">
        <f t="shared" si="13"/>
        <v>4.8302792149404382E-2</v>
      </c>
      <c r="Z37">
        <f t="shared" si="14"/>
        <v>1.3632333248563486</v>
      </c>
      <c r="AA37">
        <f t="shared" si="18"/>
        <v>0.18233636398547057</v>
      </c>
      <c r="AB37">
        <f t="shared" si="15"/>
        <v>3.9117961516064197</v>
      </c>
      <c r="AC37">
        <v>41</v>
      </c>
      <c r="AD37">
        <v>186.04765927693595</v>
      </c>
      <c r="AE37">
        <f t="shared" si="4"/>
        <v>5.3494526950547874</v>
      </c>
      <c r="AF37" s="2">
        <f t="shared" si="5"/>
        <v>104.52933299425395</v>
      </c>
      <c r="AG37">
        <f t="shared" si="6"/>
        <v>2.6132333248563486</v>
      </c>
      <c r="AH37">
        <f t="shared" si="7"/>
        <v>56.184169905980809</v>
      </c>
      <c r="AI37">
        <f t="shared" si="3"/>
        <v>3.565388227751952</v>
      </c>
      <c r="AJ37">
        <v>56.184169905980809</v>
      </c>
      <c r="AK37">
        <f t="shared" si="16"/>
        <v>0.28047436523638264</v>
      </c>
      <c r="AL37">
        <v>43</v>
      </c>
      <c r="AM37">
        <v>4.4093321316173499</v>
      </c>
      <c r="AN37" s="2">
        <v>7.1781620990815602</v>
      </c>
    </row>
    <row r="38" spans="1:40" x14ac:dyDescent="0.2">
      <c r="A38">
        <v>2021</v>
      </c>
      <c r="B38" s="1">
        <v>114559839.044383</v>
      </c>
      <c r="C38" s="2">
        <v>91.692762707318394</v>
      </c>
      <c r="D38" s="2">
        <v>3.91277465142152</v>
      </c>
      <c r="E38" s="1" t="s">
        <v>4</v>
      </c>
      <c r="F38" s="2">
        <v>211.09527254922401</v>
      </c>
      <c r="G38" s="2">
        <v>6.7457338952066301</v>
      </c>
      <c r="H38">
        <v>44</v>
      </c>
      <c r="I38">
        <v>8.2093355998256956E-2</v>
      </c>
      <c r="J38">
        <v>44</v>
      </c>
      <c r="K38">
        <v>1.9237925211616462</v>
      </c>
      <c r="L38">
        <f t="shared" si="2"/>
        <v>23.434204848471456</v>
      </c>
      <c r="P38">
        <f t="shared" si="8"/>
        <v>0.14153126194668966</v>
      </c>
      <c r="S38">
        <f t="shared" si="20"/>
        <v>132.74113208335481</v>
      </c>
      <c r="T38">
        <f t="shared" si="19"/>
        <v>5.9594213552745687</v>
      </c>
      <c r="U38" s="2">
        <f t="shared" si="9"/>
        <v>41.048369376036419</v>
      </c>
      <c r="V38" s="2">
        <f t="shared" si="10"/>
        <v>2.0466467038530487</v>
      </c>
      <c r="W38">
        <f t="shared" si="11"/>
        <v>30.923624600594856</v>
      </c>
      <c r="X38">
        <f t="shared" si="12"/>
        <v>34.343044095071434</v>
      </c>
      <c r="Y38">
        <f t="shared" si="13"/>
        <v>5.1166167596326216E-2</v>
      </c>
      <c r="Z38">
        <f t="shared" si="14"/>
        <v>1.0262092344009104</v>
      </c>
      <c r="AA38">
        <f t="shared" si="18"/>
        <v>0.14252099105121194</v>
      </c>
      <c r="AB38">
        <f t="shared" si="15"/>
        <v>3.1745360111238394</v>
      </c>
      <c r="AC38">
        <v>42</v>
      </c>
      <c r="AD38">
        <v>182.74113208335481</v>
      </c>
      <c r="AE38">
        <f t="shared" si="4"/>
        <v>4.3702980033940237</v>
      </c>
      <c r="AF38" s="2">
        <f t="shared" si="5"/>
        <v>91.048369376036419</v>
      </c>
      <c r="AG38">
        <f t="shared" si="6"/>
        <v>2.2762092344009104</v>
      </c>
      <c r="AH38">
        <f t="shared" si="7"/>
        <v>49.823686839428127</v>
      </c>
      <c r="AI38">
        <f t="shared" si="3"/>
        <v>2.9654897408300558</v>
      </c>
      <c r="AJ38">
        <v>49.823686839428127</v>
      </c>
      <c r="AK38">
        <f t="shared" si="16"/>
        <v>0.33721242944515967</v>
      </c>
      <c r="AL38">
        <v>44</v>
      </c>
      <c r="AM38">
        <v>3.91277465142152</v>
      </c>
      <c r="AN38" s="2">
        <v>6.7457338952066301</v>
      </c>
    </row>
    <row r="39" spans="1:40" x14ac:dyDescent="0.2">
      <c r="A39">
        <v>1976</v>
      </c>
      <c r="F39" s="2">
        <v>349.91</v>
      </c>
      <c r="G39" s="2">
        <v>47.91</v>
      </c>
      <c r="H39">
        <v>1</v>
      </c>
      <c r="J39">
        <v>1</v>
      </c>
      <c r="S39">
        <v>397.7</v>
      </c>
      <c r="T39">
        <v>84.48</v>
      </c>
      <c r="AD39">
        <v>397.7</v>
      </c>
      <c r="AG39" t="s">
        <v>59</v>
      </c>
      <c r="AH39">
        <f>AVERAGE(AH4:AH38)</f>
        <v>59.200380485600306</v>
      </c>
      <c r="AJ39">
        <v>59.200380485600306</v>
      </c>
      <c r="AL39">
        <v>1</v>
      </c>
      <c r="AN39" s="2">
        <v>84.48</v>
      </c>
    </row>
    <row r="40" spans="1:40" x14ac:dyDescent="0.2">
      <c r="AG40" t="s">
        <v>60</v>
      </c>
      <c r="AH40">
        <f>STDEV(AH4:AH38)</f>
        <v>13.615664998874196</v>
      </c>
      <c r="AJ40">
        <v>13.615664998874196</v>
      </c>
    </row>
    <row r="41" spans="1:40" x14ac:dyDescent="0.2">
      <c r="E41" s="3"/>
      <c r="F41" s="3" t="s">
        <v>20</v>
      </c>
      <c r="G41" s="3" t="s">
        <v>21</v>
      </c>
      <c r="H41" s="3"/>
      <c r="I41" s="3" t="s">
        <v>33</v>
      </c>
      <c r="J41" s="3" t="s">
        <v>20</v>
      </c>
      <c r="K41" s="3" t="s">
        <v>21</v>
      </c>
      <c r="AL41" t="s">
        <v>76</v>
      </c>
    </row>
    <row r="42" spans="1:40" x14ac:dyDescent="0.2">
      <c r="E42" s="3" t="s">
        <v>18</v>
      </c>
      <c r="F42" s="3">
        <v>1.63</v>
      </c>
      <c r="G42" s="3">
        <v>2.29</v>
      </c>
      <c r="H42" s="3"/>
      <c r="I42" s="3" t="s">
        <v>71</v>
      </c>
      <c r="J42" s="3"/>
      <c r="K42" s="3"/>
    </row>
    <row r="43" spans="1:40" x14ac:dyDescent="0.2">
      <c r="E43" s="3" t="s">
        <v>19</v>
      </c>
      <c r="F43" s="3"/>
      <c r="G43" s="3"/>
      <c r="H43" s="3"/>
      <c r="I43" s="3" t="s">
        <v>72</v>
      </c>
      <c r="J43" s="3"/>
      <c r="K43" s="3"/>
    </row>
    <row r="44" spans="1:40" x14ac:dyDescent="0.2">
      <c r="E44" s="3" t="s">
        <v>70</v>
      </c>
      <c r="F44" s="3"/>
      <c r="G44" s="3"/>
      <c r="H44" s="3" t="s">
        <v>20</v>
      </c>
      <c r="I44" s="3" t="s">
        <v>21</v>
      </c>
      <c r="J44" s="3" t="s">
        <v>20</v>
      </c>
      <c r="K44" s="3" t="s">
        <v>21</v>
      </c>
    </row>
    <row r="45" spans="1:40" x14ac:dyDescent="0.2">
      <c r="E45" s="3"/>
      <c r="F45" s="3" t="s">
        <v>27</v>
      </c>
      <c r="G45" s="3" t="s">
        <v>28</v>
      </c>
      <c r="H45" s="3" t="s">
        <v>29</v>
      </c>
      <c r="I45" s="3" t="s">
        <v>30</v>
      </c>
      <c r="J45" s="3" t="s">
        <v>31</v>
      </c>
      <c r="K45" s="3" t="s">
        <v>31</v>
      </c>
    </row>
    <row r="46" spans="1:40" x14ac:dyDescent="0.2">
      <c r="E46" s="3" t="s">
        <v>22</v>
      </c>
      <c r="F46" s="3">
        <v>9200</v>
      </c>
      <c r="G46" s="3"/>
      <c r="H46" s="3">
        <v>0.57999999999999996</v>
      </c>
      <c r="I46" s="3">
        <v>15.1</v>
      </c>
      <c r="J46" s="3">
        <f>F46*H46</f>
        <v>5336</v>
      </c>
      <c r="K46" s="3">
        <f>F46*I46</f>
        <v>138920</v>
      </c>
    </row>
    <row r="47" spans="1:40" x14ac:dyDescent="0.2">
      <c r="E47" s="3" t="s">
        <v>23</v>
      </c>
      <c r="F47" s="3">
        <v>1200</v>
      </c>
      <c r="G47" s="3"/>
      <c r="H47" s="3">
        <v>0.34</v>
      </c>
      <c r="I47" s="3">
        <v>20.399999999999999</v>
      </c>
      <c r="J47" s="3">
        <f t="shared" ref="J47:J50" si="21">F47*H47</f>
        <v>408.00000000000006</v>
      </c>
      <c r="K47" s="3">
        <f t="shared" ref="K47:K50" si="22">F47*I47</f>
        <v>24480</v>
      </c>
    </row>
    <row r="48" spans="1:40" x14ac:dyDescent="0.2">
      <c r="E48" s="3" t="s">
        <v>24</v>
      </c>
      <c r="F48" s="3">
        <v>1900</v>
      </c>
      <c r="G48" s="3"/>
      <c r="H48" s="3">
        <v>0.31</v>
      </c>
      <c r="I48" s="3">
        <v>26.7</v>
      </c>
      <c r="J48" s="3">
        <f t="shared" si="21"/>
        <v>589</v>
      </c>
      <c r="K48" s="3">
        <f t="shared" si="22"/>
        <v>50730</v>
      </c>
    </row>
    <row r="49" spans="5:32" x14ac:dyDescent="0.2">
      <c r="E49" s="3" t="s">
        <v>25</v>
      </c>
      <c r="F49" s="3">
        <v>2000</v>
      </c>
      <c r="G49" s="3"/>
      <c r="H49" s="3">
        <v>0.39</v>
      </c>
      <c r="I49" s="3">
        <v>9.6999999999999993</v>
      </c>
      <c r="J49" s="3">
        <f t="shared" si="21"/>
        <v>780</v>
      </c>
      <c r="K49" s="3">
        <f t="shared" si="22"/>
        <v>19400</v>
      </c>
    </row>
    <row r="50" spans="5:32" x14ac:dyDescent="0.2">
      <c r="E50" s="3" t="s">
        <v>26</v>
      </c>
      <c r="F50" s="3">
        <v>6500</v>
      </c>
      <c r="G50" s="3"/>
      <c r="H50" s="3">
        <v>0.3</v>
      </c>
      <c r="I50" s="3">
        <v>10</v>
      </c>
      <c r="J50" s="3">
        <f t="shared" si="21"/>
        <v>1950</v>
      </c>
      <c r="K50" s="3">
        <f t="shared" si="22"/>
        <v>65000</v>
      </c>
    </row>
    <row r="51" spans="5:32" x14ac:dyDescent="0.2">
      <c r="E51" s="3" t="s">
        <v>31</v>
      </c>
      <c r="F51" s="3">
        <f>SUM(F46:F50)</f>
        <v>20800</v>
      </c>
      <c r="G51" s="3"/>
      <c r="H51" s="3"/>
      <c r="I51" s="3" t="s">
        <v>32</v>
      </c>
      <c r="J51" s="3">
        <f>SUM(J46:J50)</f>
        <v>9063</v>
      </c>
      <c r="K51" s="3">
        <f>SUM(K46:K50)</f>
        <v>298530</v>
      </c>
    </row>
    <row r="52" spans="5:32" x14ac:dyDescent="0.2">
      <c r="E52" s="3"/>
      <c r="F52" s="3"/>
      <c r="G52" s="3"/>
      <c r="H52" s="3"/>
      <c r="I52" s="3" t="s">
        <v>34</v>
      </c>
      <c r="J52" s="3">
        <f>SUM(J46:J48)</f>
        <v>6333</v>
      </c>
      <c r="K52" s="3">
        <f>SUM(K46:K48)</f>
        <v>214130</v>
      </c>
    </row>
    <row r="53" spans="5:32" x14ac:dyDescent="0.2">
      <c r="E53" s="3" t="s">
        <v>69</v>
      </c>
      <c r="F53" s="3">
        <f>F51/(F46+F47+F48)</f>
        <v>1.6910569105691058</v>
      </c>
      <c r="G53" s="3"/>
      <c r="H53" s="3"/>
      <c r="I53" s="3" t="s">
        <v>35</v>
      </c>
      <c r="J53" s="3">
        <f>J51/J52</f>
        <v>1.4310753197536712</v>
      </c>
      <c r="K53" s="3">
        <f>K51/K52</f>
        <v>1.3941530845747909</v>
      </c>
    </row>
    <row r="54" spans="5:32" x14ac:dyDescent="0.2">
      <c r="E54" s="3"/>
      <c r="F54" s="3"/>
      <c r="G54" s="3"/>
      <c r="H54" s="3"/>
      <c r="I54" s="3" t="s">
        <v>68</v>
      </c>
      <c r="J54" s="3"/>
      <c r="K54" s="3">
        <f>L54/K52</f>
        <v>1.6743566992014196</v>
      </c>
      <c r="L54">
        <f>K51+60000</f>
        <v>358530</v>
      </c>
      <c r="N54" t="s">
        <v>73</v>
      </c>
    </row>
    <row r="55" spans="5:32" x14ac:dyDescent="0.2">
      <c r="E55" s="3"/>
      <c r="F55" s="3"/>
      <c r="G55" s="3"/>
      <c r="H55" s="3"/>
      <c r="I55" s="3"/>
      <c r="J55" s="3"/>
      <c r="K55" s="3"/>
      <c r="R55" t="s">
        <v>74</v>
      </c>
    </row>
    <row r="57" spans="5:32" x14ac:dyDescent="0.2">
      <c r="I57">
        <f>13*4000/1000</f>
        <v>52</v>
      </c>
      <c r="AF57" t="s">
        <v>75</v>
      </c>
    </row>
    <row r="59" spans="5:32" x14ac:dyDescent="0.2">
      <c r="J59" s="4">
        <v>1.4310753197536701</v>
      </c>
      <c r="K59" s="4">
        <v>1.6743566992014201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4DD-1C0A-914D-AB24-D0AD8D60089F}">
  <dimension ref="A1:I55"/>
  <sheetViews>
    <sheetView workbookViewId="0">
      <selection activeCell="I2" sqref="I2"/>
    </sheetView>
  </sheetViews>
  <sheetFormatPr baseColWidth="10" defaultRowHeight="16" x14ac:dyDescent="0.2"/>
  <cols>
    <col min="1" max="1" width="10.6640625" customWidth="1"/>
    <col min="2" max="2" width="22" bestFit="1" customWidth="1"/>
    <col min="3" max="3" width="21.83203125" bestFit="1" customWidth="1"/>
    <col min="4" max="4" width="9.1640625" bestFit="1" customWidth="1"/>
    <col min="5" max="5" width="12.6640625" bestFit="1" customWidth="1"/>
    <col min="6" max="6" width="12.33203125" bestFit="1" customWidth="1"/>
  </cols>
  <sheetData>
    <row r="1" spans="1:9" x14ac:dyDescent="0.2">
      <c r="A1" t="s">
        <v>0</v>
      </c>
      <c r="B1" t="s">
        <v>6</v>
      </c>
      <c r="C1" t="s">
        <v>7</v>
      </c>
      <c r="D1" t="s">
        <v>2</v>
      </c>
      <c r="E1" t="s">
        <v>8</v>
      </c>
      <c r="F1" t="s">
        <v>9</v>
      </c>
      <c r="H1" t="s">
        <v>77</v>
      </c>
      <c r="I1" t="s">
        <v>78</v>
      </c>
    </row>
    <row r="2" spans="1:9" x14ac:dyDescent="0.2">
      <c r="B2" t="s">
        <v>10</v>
      </c>
      <c r="C2" t="s">
        <v>11</v>
      </c>
      <c r="E2" t="s">
        <v>10</v>
      </c>
      <c r="F2" t="s">
        <v>11</v>
      </c>
      <c r="H2" t="s">
        <v>20</v>
      </c>
      <c r="I2" t="s">
        <v>21</v>
      </c>
    </row>
    <row r="3" spans="1:9" x14ac:dyDescent="0.2">
      <c r="A3">
        <v>1979</v>
      </c>
      <c r="B3" s="2">
        <v>230.54670332596501</v>
      </c>
      <c r="C3" s="2">
        <v>50.629812944082303</v>
      </c>
      <c r="D3" s="1"/>
      <c r="E3" s="1"/>
      <c r="F3" s="1"/>
    </row>
    <row r="4" spans="1:9" x14ac:dyDescent="0.2">
      <c r="A4">
        <v>1988</v>
      </c>
      <c r="B4" s="2">
        <v>189.61435626487699</v>
      </c>
      <c r="C4" s="2">
        <v>30.349237423248599</v>
      </c>
      <c r="D4" s="1"/>
      <c r="E4" s="1"/>
      <c r="F4" s="1"/>
      <c r="I4">
        <v>568.54391944301551</v>
      </c>
    </row>
    <row r="5" spans="1:9" x14ac:dyDescent="0.2">
      <c r="A5">
        <v>1989</v>
      </c>
      <c r="B5" s="2">
        <v>93.216003990120697</v>
      </c>
      <c r="C5" s="2">
        <v>14.342571592496499</v>
      </c>
      <c r="D5" s="1" t="s">
        <v>3</v>
      </c>
      <c r="E5" s="2">
        <v>359.2</v>
      </c>
      <c r="F5" s="2">
        <v>27.1</v>
      </c>
      <c r="H5">
        <v>27.1</v>
      </c>
      <c r="I5">
        <v>359.2</v>
      </c>
    </row>
    <row r="6" spans="1:9" x14ac:dyDescent="0.2">
      <c r="A6">
        <v>1990</v>
      </c>
      <c r="B6" s="2">
        <v>116.614530745249</v>
      </c>
      <c r="C6" s="2">
        <v>18.229338560613598</v>
      </c>
      <c r="D6" s="1" t="s">
        <v>3</v>
      </c>
      <c r="E6" s="2">
        <v>425.2</v>
      </c>
      <c r="F6" s="2">
        <v>27.8</v>
      </c>
      <c r="H6">
        <v>27.8</v>
      </c>
      <c r="I6">
        <v>425.2</v>
      </c>
    </row>
    <row r="7" spans="1:9" x14ac:dyDescent="0.2">
      <c r="A7">
        <v>1991</v>
      </c>
      <c r="B7" s="2">
        <v>167.63806452900801</v>
      </c>
      <c r="C7" s="2">
        <v>24.571034882630101</v>
      </c>
      <c r="D7" s="1" t="s">
        <v>3</v>
      </c>
      <c r="E7" s="2">
        <v>564</v>
      </c>
      <c r="F7" s="2">
        <v>23.6</v>
      </c>
      <c r="H7">
        <v>23.6</v>
      </c>
      <c r="I7">
        <v>564</v>
      </c>
    </row>
    <row r="8" spans="1:9" x14ac:dyDescent="0.2">
      <c r="A8">
        <v>1992</v>
      </c>
      <c r="B8" s="2">
        <v>163.96543867794301</v>
      </c>
      <c r="C8" s="2">
        <v>20.019463502646701</v>
      </c>
      <c r="D8" s="1" t="s">
        <v>3</v>
      </c>
      <c r="E8" s="2">
        <v>468</v>
      </c>
      <c r="F8" s="2">
        <v>11.6</v>
      </c>
      <c r="H8">
        <v>11.6</v>
      </c>
      <c r="I8">
        <v>468</v>
      </c>
    </row>
    <row r="9" spans="1:9" x14ac:dyDescent="0.2">
      <c r="A9">
        <v>1993</v>
      </c>
      <c r="B9" s="2">
        <v>133.229737673161</v>
      </c>
      <c r="C9" s="2">
        <v>17.303951192547899</v>
      </c>
      <c r="D9" s="1" t="s">
        <v>3</v>
      </c>
      <c r="E9" s="2">
        <v>426</v>
      </c>
      <c r="F9" s="2">
        <v>10.9</v>
      </c>
      <c r="H9">
        <v>10.9</v>
      </c>
      <c r="I9">
        <v>426</v>
      </c>
    </row>
    <row r="10" spans="1:9" x14ac:dyDescent="0.2">
      <c r="A10">
        <v>1994</v>
      </c>
      <c r="B10" s="2">
        <v>273.56774639039998</v>
      </c>
      <c r="C10" s="2">
        <v>31.340788617600001</v>
      </c>
      <c r="D10" s="1" t="s">
        <v>3</v>
      </c>
      <c r="E10" s="2">
        <v>516</v>
      </c>
      <c r="F10" s="2">
        <v>11.2</v>
      </c>
      <c r="H10">
        <v>11.2</v>
      </c>
      <c r="I10">
        <v>516</v>
      </c>
    </row>
    <row r="11" spans="1:9" x14ac:dyDescent="0.2">
      <c r="A11">
        <v>1995</v>
      </c>
      <c r="B11" s="2">
        <v>164.984292812581</v>
      </c>
      <c r="C11" s="2">
        <v>18.358900063989601</v>
      </c>
      <c r="D11" s="1" t="s">
        <v>3</v>
      </c>
      <c r="E11" s="2">
        <v>374</v>
      </c>
      <c r="F11" s="2">
        <v>8.5</v>
      </c>
      <c r="H11">
        <v>8.5</v>
      </c>
      <c r="I11">
        <v>374</v>
      </c>
    </row>
    <row r="12" spans="1:9" x14ac:dyDescent="0.2">
      <c r="A12">
        <v>1996</v>
      </c>
      <c r="B12" s="2">
        <v>21.633918142946001</v>
      </c>
      <c r="C12" s="2">
        <v>2.1468254596955898</v>
      </c>
      <c r="D12" s="1" t="s">
        <v>3</v>
      </c>
      <c r="E12" s="2">
        <v>173</v>
      </c>
      <c r="F12" s="2">
        <v>6.5</v>
      </c>
      <c r="H12">
        <v>6.5</v>
      </c>
      <c r="I12">
        <v>173</v>
      </c>
    </row>
    <row r="13" spans="1:9" x14ac:dyDescent="0.2">
      <c r="A13">
        <v>1997</v>
      </c>
      <c r="B13" s="2">
        <v>44.6121240101753</v>
      </c>
      <c r="C13" s="2">
        <v>3.84089827275616</v>
      </c>
      <c r="D13" s="1" t="s">
        <v>3</v>
      </c>
      <c r="E13" s="2">
        <v>176</v>
      </c>
      <c r="F13" s="2">
        <v>6.1</v>
      </c>
      <c r="H13">
        <v>6.1</v>
      </c>
      <c r="I13">
        <v>176</v>
      </c>
    </row>
    <row r="14" spans="1:9" x14ac:dyDescent="0.2">
      <c r="A14">
        <v>1998</v>
      </c>
      <c r="B14" s="2">
        <v>194.53720561150701</v>
      </c>
      <c r="C14" s="2">
        <v>14.4814883112986</v>
      </c>
      <c r="D14" s="1" t="s">
        <v>3</v>
      </c>
      <c r="E14" s="2">
        <v>485</v>
      </c>
      <c r="F14" s="2">
        <v>10.5</v>
      </c>
      <c r="H14">
        <v>10.5</v>
      </c>
      <c r="I14">
        <v>485</v>
      </c>
    </row>
    <row r="15" spans="1:9" x14ac:dyDescent="0.2">
      <c r="A15">
        <v>1999</v>
      </c>
      <c r="B15" s="2">
        <v>127.824293613404</v>
      </c>
      <c r="C15" s="2">
        <v>9.6826040125968493</v>
      </c>
      <c r="D15" s="1" t="s">
        <v>3</v>
      </c>
      <c r="E15" s="2">
        <v>261</v>
      </c>
      <c r="F15" s="2">
        <v>10</v>
      </c>
      <c r="H15">
        <v>10</v>
      </c>
      <c r="I15">
        <v>261</v>
      </c>
    </row>
    <row r="16" spans="1:9" x14ac:dyDescent="0.2">
      <c r="A16">
        <v>2000</v>
      </c>
      <c r="B16" s="2">
        <v>134.67101809024501</v>
      </c>
      <c r="C16" s="2">
        <v>11.1731642603733</v>
      </c>
      <c r="D16" s="1" t="s">
        <v>3</v>
      </c>
      <c r="E16" s="2">
        <v>311</v>
      </c>
      <c r="F16" s="2">
        <v>8.9</v>
      </c>
      <c r="H16">
        <v>8.9</v>
      </c>
      <c r="I16">
        <v>311</v>
      </c>
    </row>
    <row r="17" spans="1:9" x14ac:dyDescent="0.2">
      <c r="A17">
        <v>2001</v>
      </c>
      <c r="B17" s="2">
        <v>69.911398890570595</v>
      </c>
      <c r="C17" s="2">
        <v>5.4857037189022302</v>
      </c>
      <c r="D17" s="1" t="s">
        <v>3</v>
      </c>
      <c r="E17" s="2">
        <v>271</v>
      </c>
      <c r="F17" s="2">
        <v>6.7</v>
      </c>
      <c r="H17">
        <v>6.7</v>
      </c>
      <c r="I17">
        <v>271</v>
      </c>
    </row>
    <row r="18" spans="1:9" x14ac:dyDescent="0.2">
      <c r="A18">
        <v>2002</v>
      </c>
      <c r="B18" s="2">
        <v>143.36223616108401</v>
      </c>
      <c r="C18" s="2">
        <v>16.1163409683742</v>
      </c>
      <c r="D18" s="1" t="s">
        <v>3</v>
      </c>
      <c r="E18" s="2">
        <v>401</v>
      </c>
      <c r="F18" s="2">
        <v>12.5</v>
      </c>
      <c r="H18">
        <v>12.5</v>
      </c>
      <c r="I18">
        <v>401</v>
      </c>
    </row>
    <row r="19" spans="1:9" x14ac:dyDescent="0.2">
      <c r="A19">
        <v>2003</v>
      </c>
      <c r="B19" s="2">
        <v>83.401100202593398</v>
      </c>
      <c r="C19" s="2">
        <v>8.2943947768025001</v>
      </c>
      <c r="D19" s="1" t="s">
        <v>3</v>
      </c>
      <c r="E19" s="2">
        <v>246</v>
      </c>
      <c r="F19" s="2">
        <v>8.1</v>
      </c>
      <c r="H19">
        <v>8.1</v>
      </c>
      <c r="I19">
        <v>246</v>
      </c>
    </row>
    <row r="20" spans="1:9" x14ac:dyDescent="0.2">
      <c r="A20">
        <v>2004</v>
      </c>
      <c r="B20" s="2">
        <v>100.14149677973001</v>
      </c>
      <c r="C20" s="2">
        <v>8.0084578650622706</v>
      </c>
      <c r="D20" s="1" t="s">
        <v>4</v>
      </c>
      <c r="E20" s="2">
        <v>365.91159203298002</v>
      </c>
      <c r="F20" s="2"/>
      <c r="H20">
        <v>8.0084999999999997</v>
      </c>
      <c r="I20">
        <v>230.09287883296557</v>
      </c>
    </row>
    <row r="21" spans="1:9" x14ac:dyDescent="0.2">
      <c r="A21">
        <v>2004</v>
      </c>
      <c r="B21" s="2">
        <v>100.14149677973001</v>
      </c>
      <c r="C21" s="2">
        <v>8.0084578650622706</v>
      </c>
      <c r="D21" s="1" t="s">
        <v>3</v>
      </c>
      <c r="E21" s="2"/>
      <c r="F21" s="2">
        <v>10</v>
      </c>
    </row>
    <row r="22" spans="1:9" x14ac:dyDescent="0.2">
      <c r="A22">
        <v>2005</v>
      </c>
      <c r="B22" s="2">
        <v>106.147968446071</v>
      </c>
      <c r="C22" s="2">
        <v>6.9299741801969299</v>
      </c>
      <c r="D22" s="1" t="s">
        <v>4</v>
      </c>
      <c r="E22" s="2">
        <v>256.26444775927598</v>
      </c>
      <c r="F22" s="2">
        <v>8.6387102289881597</v>
      </c>
      <c r="H22">
        <v>7.6317440059772697</v>
      </c>
      <c r="I22">
        <v>211.14445623290715</v>
      </c>
    </row>
    <row r="23" spans="1:9" x14ac:dyDescent="0.2">
      <c r="A23">
        <v>2006</v>
      </c>
      <c r="B23" s="2">
        <v>110.527919048782</v>
      </c>
      <c r="C23" s="2">
        <v>6.4409774131629201</v>
      </c>
      <c r="D23" s="1" t="s">
        <v>4</v>
      </c>
      <c r="E23" s="2">
        <v>326.67882937433501</v>
      </c>
      <c r="F23" s="2">
        <v>7.7798534468338802</v>
      </c>
      <c r="H23">
        <v>6.8729993640741025</v>
      </c>
      <c r="I23">
        <v>255.42249532709272</v>
      </c>
    </row>
    <row r="24" spans="1:9" x14ac:dyDescent="0.2">
      <c r="A24">
        <v>2007</v>
      </c>
      <c r="B24" s="2">
        <v>265.41465796860302</v>
      </c>
      <c r="C24" s="2">
        <v>14.675731147932201</v>
      </c>
      <c r="D24" s="1" t="s">
        <v>4</v>
      </c>
      <c r="E24" s="2">
        <v>373.84095216401198</v>
      </c>
      <c r="F24" s="2">
        <v>11.834526012364099</v>
      </c>
      <c r="H24">
        <v>10.455041385156015</v>
      </c>
      <c r="I24">
        <v>285.07902668828694</v>
      </c>
    </row>
    <row r="25" spans="1:9" x14ac:dyDescent="0.2">
      <c r="A25">
        <v>2008</v>
      </c>
      <c r="B25" s="2">
        <v>120.422172754324</v>
      </c>
      <c r="C25" s="2">
        <v>6.2209102609855202</v>
      </c>
      <c r="D25" s="1" t="s">
        <v>4</v>
      </c>
      <c r="E25" s="2">
        <v>248.134754216744</v>
      </c>
      <c r="F25" s="2">
        <v>8.8692774054637198</v>
      </c>
      <c r="H25">
        <v>7.8354352539065992</v>
      </c>
      <c r="I25">
        <v>206.03233452930624</v>
      </c>
    </row>
    <row r="26" spans="1:9" x14ac:dyDescent="0.2">
      <c r="A26">
        <v>2009</v>
      </c>
      <c r="B26" s="2">
        <v>103.43098241947</v>
      </c>
      <c r="C26" s="2">
        <v>5.0783316850079299</v>
      </c>
      <c r="D26" s="1" t="s">
        <v>4</v>
      </c>
      <c r="E26" s="2">
        <v>213.97357776191899</v>
      </c>
      <c r="F26" s="2">
        <v>7.5288323507997301</v>
      </c>
      <c r="H26">
        <v>6.6512383957985346</v>
      </c>
      <c r="I26">
        <v>184.55107073238571</v>
      </c>
    </row>
    <row r="27" spans="1:9" x14ac:dyDescent="0.2">
      <c r="A27">
        <v>2010</v>
      </c>
      <c r="B27" s="2">
        <v>115.99160576601101</v>
      </c>
      <c r="C27" s="2">
        <v>5.6534030100235197</v>
      </c>
      <c r="D27" s="1" t="s">
        <v>4</v>
      </c>
      <c r="E27" s="2">
        <v>324.14805522570202</v>
      </c>
      <c r="F27" s="2">
        <v>10.088851390876201</v>
      </c>
      <c r="H27">
        <v>8.9128503085041277</v>
      </c>
      <c r="I27">
        <v>253.83109149563793</v>
      </c>
    </row>
    <row r="28" spans="1:9" x14ac:dyDescent="0.2">
      <c r="A28">
        <v>2011</v>
      </c>
      <c r="B28" s="2">
        <v>121.249382038492</v>
      </c>
      <c r="C28" s="2">
        <v>7.5348506424870898</v>
      </c>
      <c r="D28" s="1" t="s">
        <v>4</v>
      </c>
      <c r="E28" s="2">
        <v>369.83335706195498</v>
      </c>
      <c r="F28" s="2">
        <v>12.5785036363748</v>
      </c>
      <c r="H28">
        <v>11.112297691030498</v>
      </c>
      <c r="I28">
        <v>282.55896688612017</v>
      </c>
    </row>
    <row r="29" spans="1:9" x14ac:dyDescent="0.2">
      <c r="A29">
        <v>2012</v>
      </c>
      <c r="B29" s="2">
        <v>94.742104097097794</v>
      </c>
      <c r="C29" s="2">
        <v>5.0208416650425596</v>
      </c>
      <c r="D29" s="1" t="s">
        <v>4</v>
      </c>
      <c r="E29" s="2">
        <v>235.32120497248701</v>
      </c>
      <c r="F29" s="2">
        <v>7.7529485616172504</v>
      </c>
      <c r="H29">
        <v>6.8492306311219879</v>
      </c>
      <c r="I29">
        <v>197.97490618357259</v>
      </c>
    </row>
    <row r="30" spans="1:9" x14ac:dyDescent="0.2">
      <c r="A30">
        <v>2013</v>
      </c>
      <c r="B30" s="2">
        <v>65.609848148798406</v>
      </c>
      <c r="C30" s="2">
        <v>2.44339717608907</v>
      </c>
      <c r="D30" s="1" t="s">
        <v>4</v>
      </c>
      <c r="E30" s="2">
        <v>206.70484989937501</v>
      </c>
      <c r="F30" s="2">
        <v>6.8422684932933402</v>
      </c>
      <c r="H30">
        <v>6.0447034541977978</v>
      </c>
      <c r="I30">
        <v>179.98034229480348</v>
      </c>
    </row>
    <row r="31" spans="1:9" x14ac:dyDescent="0.2">
      <c r="A31">
        <v>2014</v>
      </c>
      <c r="B31" s="2">
        <v>56.3756249005135</v>
      </c>
      <c r="C31" s="2">
        <v>3.21048217164974</v>
      </c>
      <c r="D31" s="1" t="s">
        <v>4</v>
      </c>
      <c r="E31" s="2">
        <v>246.10877794509801</v>
      </c>
      <c r="F31" s="2">
        <v>6.8316321683294499</v>
      </c>
      <c r="H31">
        <v>6.0353069462542379</v>
      </c>
      <c r="I31">
        <v>204.75835818381708</v>
      </c>
    </row>
    <row r="32" spans="1:9" x14ac:dyDescent="0.2">
      <c r="A32">
        <v>2015</v>
      </c>
      <c r="B32" s="2">
        <v>115.1162937119</v>
      </c>
      <c r="C32" s="2">
        <v>6.4380767619202004</v>
      </c>
      <c r="D32" s="1" t="s">
        <v>4</v>
      </c>
      <c r="E32" s="2">
        <v>330.80457679907198</v>
      </c>
      <c r="F32" s="2">
        <v>9.2672479742180602</v>
      </c>
      <c r="H32">
        <v>8.1870166152601271</v>
      </c>
      <c r="I32">
        <v>258.01685178631601</v>
      </c>
    </row>
    <row r="33" spans="1:9" x14ac:dyDescent="0.2">
      <c r="A33">
        <v>2016</v>
      </c>
      <c r="B33" s="2">
        <v>68.035324678980601</v>
      </c>
      <c r="C33" s="2">
        <v>3.4860609329901799</v>
      </c>
      <c r="D33" s="1" t="s">
        <v>4</v>
      </c>
      <c r="E33" s="2">
        <v>214.81915236681101</v>
      </c>
      <c r="F33" s="2">
        <v>6.6823425204107201</v>
      </c>
      <c r="H33">
        <v>5.9034191591358507</v>
      </c>
      <c r="I33">
        <v>185.08278576777633</v>
      </c>
    </row>
    <row r="34" spans="1:9" x14ac:dyDescent="0.2">
      <c r="A34">
        <v>2017</v>
      </c>
      <c r="B34" s="2">
        <v>77.745558977074793</v>
      </c>
      <c r="C34" s="2">
        <v>3.8049224315379599</v>
      </c>
      <c r="D34" s="1" t="s">
        <v>4</v>
      </c>
      <c r="E34" s="2">
        <v>222.15652355288501</v>
      </c>
      <c r="F34" s="2">
        <v>8.0157416171842399</v>
      </c>
      <c r="H34">
        <v>7.0813913673284086</v>
      </c>
      <c r="I34">
        <v>189.69667856600628</v>
      </c>
    </row>
    <row r="35" spans="1:9" x14ac:dyDescent="0.2">
      <c r="A35">
        <v>2018</v>
      </c>
      <c r="B35" s="2">
        <v>68.461797806011006</v>
      </c>
      <c r="C35" s="2">
        <v>2.7328025529672502</v>
      </c>
      <c r="D35" s="1" t="s">
        <v>4</v>
      </c>
      <c r="E35" s="2">
        <v>235.29428132037501</v>
      </c>
      <c r="F35" s="2">
        <v>8.02981999780277</v>
      </c>
      <c r="H35">
        <v>7.0938287097153303</v>
      </c>
      <c r="I35">
        <v>197.95797602678601</v>
      </c>
    </row>
    <row r="36" spans="1:9" x14ac:dyDescent="0.2">
      <c r="A36">
        <v>2019</v>
      </c>
      <c r="B36" s="2">
        <v>116.049390046022</v>
      </c>
      <c r="C36" s="2">
        <v>5.4936745244218601</v>
      </c>
      <c r="D36" s="1" t="s">
        <v>4</v>
      </c>
      <c r="E36" s="2">
        <v>325.598690220918</v>
      </c>
      <c r="F36" s="2">
        <v>11.2385632190576</v>
      </c>
      <c r="H36">
        <v>9.9285466475110091</v>
      </c>
      <c r="I36">
        <v>254.74328118695277</v>
      </c>
    </row>
    <row r="37" spans="1:9" x14ac:dyDescent="0.2">
      <c r="A37">
        <v>2020</v>
      </c>
      <c r="B37" s="2">
        <v>81.518326282681997</v>
      </c>
      <c r="C37" s="2">
        <v>4.4093321316173499</v>
      </c>
      <c r="D37" s="1" t="s">
        <v>4</v>
      </c>
      <c r="E37" s="2">
        <v>216.35356926679401</v>
      </c>
      <c r="F37" s="2">
        <v>7.1781620990815602</v>
      </c>
      <c r="H37">
        <v>6.3414438175935253</v>
      </c>
      <c r="I37">
        <v>186.04765927693595</v>
      </c>
    </row>
    <row r="38" spans="1:9" x14ac:dyDescent="0.2">
      <c r="A38">
        <v>2021</v>
      </c>
      <c r="B38" s="2">
        <v>91.692762707318394</v>
      </c>
      <c r="C38" s="2">
        <v>3.91277465142152</v>
      </c>
      <c r="D38" s="1" t="s">
        <v>4</v>
      </c>
      <c r="E38" s="2">
        <v>211.09527254922401</v>
      </c>
      <c r="F38" s="2">
        <v>6.7457338952066301</v>
      </c>
      <c r="H38">
        <v>5.9594213552745687</v>
      </c>
      <c r="I38">
        <v>182.74113208335481</v>
      </c>
    </row>
    <row r="39" spans="1:9" x14ac:dyDescent="0.2">
      <c r="A39">
        <v>1976</v>
      </c>
      <c r="E39" s="2">
        <v>349.91</v>
      </c>
      <c r="F39" s="2">
        <v>47.91</v>
      </c>
      <c r="H39">
        <v>84.48</v>
      </c>
      <c r="I39">
        <v>397.7</v>
      </c>
    </row>
    <row r="41" spans="1:9" x14ac:dyDescent="0.2">
      <c r="D41" s="3"/>
      <c r="E41" s="3"/>
      <c r="F41" s="3"/>
    </row>
    <row r="42" spans="1:9" x14ac:dyDescent="0.2">
      <c r="D42" s="3"/>
      <c r="E42" s="3"/>
      <c r="F42" s="3"/>
    </row>
    <row r="43" spans="1:9" x14ac:dyDescent="0.2">
      <c r="D43" s="3"/>
      <c r="E43" s="3"/>
      <c r="F43" s="3"/>
    </row>
    <row r="44" spans="1:9" x14ac:dyDescent="0.2">
      <c r="D44" s="3"/>
      <c r="E44" s="3"/>
      <c r="F44" s="3"/>
    </row>
    <row r="45" spans="1:9" x14ac:dyDescent="0.2">
      <c r="D45" s="3"/>
      <c r="E45" s="3"/>
      <c r="F45" s="3"/>
    </row>
    <row r="46" spans="1:9" x14ac:dyDescent="0.2">
      <c r="D46" s="3"/>
      <c r="E46" s="3"/>
      <c r="F46" s="3"/>
    </row>
    <row r="47" spans="1:9" x14ac:dyDescent="0.2">
      <c r="D47" s="3"/>
      <c r="E47" s="3"/>
      <c r="F47" s="3"/>
    </row>
    <row r="48" spans="1:9" x14ac:dyDescent="0.2">
      <c r="D48" s="3"/>
      <c r="E48" s="3"/>
      <c r="F48" s="3"/>
    </row>
    <row r="49" spans="4:6" x14ac:dyDescent="0.2">
      <c r="D49" s="3"/>
      <c r="E49" s="3"/>
      <c r="F49" s="3"/>
    </row>
    <row r="50" spans="4:6" x14ac:dyDescent="0.2">
      <c r="D50" s="3"/>
      <c r="E50" s="3"/>
      <c r="F50" s="3"/>
    </row>
    <row r="51" spans="4:6" x14ac:dyDescent="0.2">
      <c r="D51" s="3"/>
      <c r="E51" s="3"/>
      <c r="F51" s="3"/>
    </row>
    <row r="52" spans="4:6" x14ac:dyDescent="0.2">
      <c r="D52" s="3"/>
      <c r="E52" s="3"/>
      <c r="F52" s="3"/>
    </row>
    <row r="53" spans="4:6" x14ac:dyDescent="0.2">
      <c r="D53" s="3"/>
      <c r="E53" s="3"/>
      <c r="F53" s="3"/>
    </row>
    <row r="54" spans="4:6" x14ac:dyDescent="0.2">
      <c r="D54" s="3"/>
      <c r="E54" s="3"/>
      <c r="F54" s="3"/>
    </row>
    <row r="55" spans="4:6" x14ac:dyDescent="0.2">
      <c r="D55" s="3"/>
      <c r="E55" s="3"/>
      <c r="F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Arresø_kanal_outflow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Stage Sø</dc:creator>
  <cp:lastModifiedBy>Jonas Stage Sø</cp:lastModifiedBy>
  <dcterms:created xsi:type="dcterms:W3CDTF">2024-12-04T15:08:35Z</dcterms:created>
  <dcterms:modified xsi:type="dcterms:W3CDTF">2025-01-14T13:11:37Z</dcterms:modified>
</cp:coreProperties>
</file>